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85" i="1" l="1"/>
  <c r="F77" i="1"/>
  <c r="F70" i="1"/>
  <c r="F59" i="1"/>
  <c r="F52" i="1"/>
  <c r="F40" i="1"/>
  <c r="F35" i="1"/>
  <c r="F31" i="1"/>
  <c r="F17" i="1"/>
  <c r="F11" i="1"/>
  <c r="F89" i="1" s="1"/>
</calcChain>
</file>

<file path=xl/sharedStrings.xml><?xml version="1.0" encoding="utf-8"?>
<sst xmlns="http://schemas.openxmlformats.org/spreadsheetml/2006/main" count="233" uniqueCount="176">
  <si>
    <t>ГРМ:</t>
  </si>
  <si>
    <t>PU305729ARR1DW1</t>
  </si>
  <si>
    <t>PU106018FRR1D</t>
  </si>
  <si>
    <t xml:space="preserve">Сальник распред вала передний </t>
  </si>
  <si>
    <t>Сальник колен вала передний</t>
  </si>
  <si>
    <t>Прокладка корпуса масл фильтра</t>
  </si>
  <si>
    <t>Кольцо уплотнительное свечного колодца</t>
  </si>
  <si>
    <t xml:space="preserve">Прокладка клапанной крышки </t>
  </si>
  <si>
    <t>Болт шкива колен вала</t>
  </si>
  <si>
    <t>Шпонка колен вала</t>
  </si>
  <si>
    <t>Ролик направляющий ремня ГРМ</t>
  </si>
  <si>
    <t>Ролик ремня ГРМ обводной</t>
  </si>
  <si>
    <t>Ремень ГРМ</t>
  </si>
  <si>
    <t>Колпачек маслосьемный ВПУСК</t>
  </si>
  <si>
    <t>Колпачек маслосьемный ВЫПУСК</t>
  </si>
  <si>
    <t>есть</t>
  </si>
  <si>
    <t xml:space="preserve">Кольцо корпуса маслянного насоса </t>
  </si>
  <si>
    <t>Деталь</t>
  </si>
  <si>
    <t>Количество</t>
  </si>
  <si>
    <t>Номер</t>
  </si>
  <si>
    <t>Есть\Нет</t>
  </si>
  <si>
    <t>№</t>
  </si>
  <si>
    <t>Впуск:</t>
  </si>
  <si>
    <t>Прокладка впускного колектора (верхняя)</t>
  </si>
  <si>
    <t xml:space="preserve">Mitsubishi MD 331883 </t>
  </si>
  <si>
    <t>Уплотнение корпуса дроссельной заслонки</t>
  </si>
  <si>
    <t xml:space="preserve">Mitsubishi MD 184662 </t>
  </si>
  <si>
    <t>Mitsubishi MD 153103</t>
  </si>
  <si>
    <t>Mitsubishi MD 372249</t>
  </si>
  <si>
    <t>Mitsubishi MD 302514</t>
  </si>
  <si>
    <t>Mitsubishi MD 198128</t>
  </si>
  <si>
    <t>Mitsubishi MD 303148</t>
  </si>
  <si>
    <t>Mitsubishi MD 008959</t>
  </si>
  <si>
    <t>Mitsubishi MD 307487</t>
  </si>
  <si>
    <t>Mitsubishi MD 184303</t>
  </si>
  <si>
    <t>Mitsubishi MD 307342</t>
  </si>
  <si>
    <t>Mitsubishi MN 176208</t>
  </si>
  <si>
    <t>Mitsubishi MD 161631</t>
  </si>
  <si>
    <t>Mitsubishi MD 199282</t>
  </si>
  <si>
    <t>Прокладка впускного коллектора (нижняя)</t>
  </si>
  <si>
    <t>Denso PK16PR-P11</t>
  </si>
  <si>
    <t>Свечи зажигания</t>
  </si>
  <si>
    <t>Электрика ДВС:</t>
  </si>
  <si>
    <t>Двигатель:</t>
  </si>
  <si>
    <t>Провода высоковольтные</t>
  </si>
  <si>
    <t>Mitsubishi MD 371794</t>
  </si>
  <si>
    <t>Ремни навесного:</t>
  </si>
  <si>
    <t>Mitsubishi MB 272651</t>
  </si>
  <si>
    <t>Ремень кондиционера</t>
  </si>
  <si>
    <t xml:space="preserve">Ремень генератора </t>
  </si>
  <si>
    <t>Mitsubishi MD 199223</t>
  </si>
  <si>
    <t xml:space="preserve">Ремень гидроусилителя руля </t>
  </si>
  <si>
    <t>Mitsubishi MD 363022</t>
  </si>
  <si>
    <t>Прокладка водяного насоса</t>
  </si>
  <si>
    <t>Mitsubishi MD 188352</t>
  </si>
  <si>
    <t xml:space="preserve">Термостат на 82 градуса </t>
  </si>
  <si>
    <t>ТАМА WV64MC-82</t>
  </si>
  <si>
    <t>Mitsubishi MN 155081</t>
  </si>
  <si>
    <t>Mitsubishi 1100A141</t>
  </si>
  <si>
    <t>Аналог</t>
  </si>
  <si>
    <t>Насос системы охлаждения</t>
  </si>
  <si>
    <t>Mitsubishi MD 979169</t>
  </si>
  <si>
    <t>MD372536</t>
  </si>
  <si>
    <t>Contitech CT1080</t>
  </si>
  <si>
    <t>Гидро натяжитель ремня ГРМ</t>
  </si>
  <si>
    <t>Mitsubishi MD 341830</t>
  </si>
  <si>
    <t>Hyundai/Kia 24410-39001</t>
  </si>
  <si>
    <t>Mitsubishi MD 140071</t>
  </si>
  <si>
    <t>Mitsubishi MD 319022</t>
  </si>
  <si>
    <t>Под вопросом:</t>
  </si>
  <si>
    <t>Задние тормоза:</t>
  </si>
  <si>
    <r>
      <t xml:space="preserve">Суппорт задний </t>
    </r>
    <r>
      <rPr>
        <b/>
        <sz val="12"/>
        <color theme="1"/>
        <rFont val="Calibri"/>
        <family val="2"/>
        <scheme val="minor"/>
      </rPr>
      <t>П2</t>
    </r>
    <r>
      <rPr>
        <sz val="12"/>
        <color theme="1"/>
        <rFont val="Calibri"/>
        <family val="2"/>
        <scheme val="minor"/>
      </rPr>
      <t xml:space="preserve"> Правый</t>
    </r>
  </si>
  <si>
    <r>
      <t xml:space="preserve">Суппорт задний </t>
    </r>
    <r>
      <rPr>
        <b/>
        <sz val="12"/>
        <color theme="1"/>
        <rFont val="Calibri"/>
        <family val="2"/>
        <scheme val="minor"/>
      </rPr>
      <t>П2</t>
    </r>
    <r>
      <rPr>
        <sz val="12"/>
        <color theme="1"/>
        <rFont val="Calibri"/>
        <family val="2"/>
        <scheme val="minor"/>
      </rPr>
      <t xml:space="preserve"> Левый</t>
    </r>
  </si>
  <si>
    <r>
      <t xml:space="preserve">Колодки задние </t>
    </r>
    <r>
      <rPr>
        <b/>
        <sz val="12"/>
        <color theme="1"/>
        <rFont val="Calibri"/>
        <family val="2"/>
        <scheme val="minor"/>
      </rPr>
      <t>П2</t>
    </r>
  </si>
  <si>
    <t>Mitsubishi MR 389628</t>
  </si>
  <si>
    <t>Mitsubishi MR 389691</t>
  </si>
  <si>
    <t>Mitsubishi MR 389571</t>
  </si>
  <si>
    <t>Febest 0477-V45RL</t>
  </si>
  <si>
    <t>Mitsubishi MB 858464</t>
  </si>
  <si>
    <t>Mitsubishi MB 858465</t>
  </si>
  <si>
    <t>Febest 0477-V45RR</t>
  </si>
  <si>
    <t>Brembo P 54 018</t>
  </si>
  <si>
    <t>Диск тормозной задний</t>
  </si>
  <si>
    <t>Mitsubishi MB 618797</t>
  </si>
  <si>
    <t>Brembo 08.7106.10</t>
  </si>
  <si>
    <t>Цена шт.</t>
  </si>
  <si>
    <t>Цена комплект</t>
  </si>
  <si>
    <t>Exist</t>
  </si>
  <si>
    <t>Autopiter</t>
  </si>
  <si>
    <t>Emex</t>
  </si>
  <si>
    <t>Autodoc</t>
  </si>
  <si>
    <t>Mitsubishi 1300A012, 
GMB GWM-51A</t>
  </si>
  <si>
    <t>Фильтр воздушный двигателя</t>
  </si>
  <si>
    <t xml:space="preserve">Knecht (Mahle Filter) LX 989 </t>
  </si>
  <si>
    <t>Прокладка распред вала задняя</t>
  </si>
  <si>
    <t>Фильтр масляный двигателя</t>
  </si>
  <si>
    <t xml:space="preserve">Mann W 811/80 </t>
  </si>
  <si>
    <r>
      <t xml:space="preserve">Комплект монтажный тормозных 
колодок задних </t>
    </r>
    <r>
      <rPr>
        <b/>
        <sz val="12"/>
        <color theme="1"/>
        <rFont val="Calibri"/>
        <family val="2"/>
        <scheme val="minor"/>
      </rPr>
      <t>П2</t>
    </r>
    <r>
      <rPr>
        <sz val="12"/>
        <color theme="1"/>
        <rFont val="Calibri"/>
        <family val="2"/>
        <scheme val="minor"/>
      </rPr>
      <t xml:space="preserve"> (пружинки)</t>
    </r>
  </si>
  <si>
    <r>
      <t xml:space="preserve">Пластины колодок 
противоскрипные </t>
    </r>
    <r>
      <rPr>
        <b/>
        <sz val="12"/>
        <color theme="1"/>
        <rFont val="Calibri"/>
        <family val="2"/>
        <scheme val="minor"/>
      </rPr>
      <t>П2</t>
    </r>
  </si>
  <si>
    <t>Шланг тормозной передний 
(Задний к мосту)</t>
  </si>
  <si>
    <t>Mitsubishi MR 129720</t>
  </si>
  <si>
    <t>Шланг тормозной передний верхний</t>
  </si>
  <si>
    <t xml:space="preserve">Mitsubishi MR 129742 </t>
  </si>
  <si>
    <t>Шланг тормозной задний</t>
  </si>
  <si>
    <t xml:space="preserve">Mitsubishi MR 129745 </t>
  </si>
  <si>
    <t>Шланг тормозной передний</t>
  </si>
  <si>
    <t xml:space="preserve">Mitsubishi MR 249392 </t>
  </si>
  <si>
    <t>Передняя подвеска:</t>
  </si>
  <si>
    <t>Рычаг передний левый верхний</t>
  </si>
  <si>
    <t>Mitsubishi MR 296093</t>
  </si>
  <si>
    <t>Рычаг передний правый верхний</t>
  </si>
  <si>
    <t>Mitsubishi MR 296094</t>
  </si>
  <si>
    <t>Передние ступицы:</t>
  </si>
  <si>
    <t>Игольчатый подшипник</t>
  </si>
  <si>
    <t xml:space="preserve">Mitsubishi MB 160670 </t>
  </si>
  <si>
    <t>Втулка крепления ступицы переднего колеса</t>
  </si>
  <si>
    <t>Mitsubishi MB 160671</t>
  </si>
  <si>
    <t>Сальник поворотного кулака</t>
  </si>
  <si>
    <t>Mitsubishi MB 160850</t>
  </si>
  <si>
    <t xml:space="preserve">Hyundai/Kia MB160850 </t>
  </si>
  <si>
    <t>Кольца металлические регулировочные 
ступицы переднего колеса</t>
  </si>
  <si>
    <t xml:space="preserve">Mitsubishi MB 241229 </t>
  </si>
  <si>
    <t xml:space="preserve">Hyundai/Kia MB620994A </t>
  </si>
  <si>
    <t>Диск тормозной передний</t>
  </si>
  <si>
    <t xml:space="preserve">Mitsubishi MB 699716 </t>
  </si>
  <si>
    <t xml:space="preserve">Brembo 09.9132.10 </t>
  </si>
  <si>
    <t>Колодки тормозные дисковые передние</t>
  </si>
  <si>
    <t>Mitsubishi MR 389549</t>
  </si>
  <si>
    <t xml:space="preserve">Brembo </t>
  </si>
  <si>
    <t>Подшипник ступицы колеса переднего</t>
  </si>
  <si>
    <t>2 или 4?</t>
  </si>
  <si>
    <t xml:space="preserve">Mitsubishi MB 092749 </t>
  </si>
  <si>
    <t>Сальник передней ступицы колеса</t>
  </si>
  <si>
    <t xml:space="preserve">Mitsubishi MB 526395 </t>
  </si>
  <si>
    <t>Масла:</t>
  </si>
  <si>
    <t>Масло для заднего дифференциала</t>
  </si>
  <si>
    <t>3л</t>
  </si>
  <si>
    <t>Mobil 75-W90 LS</t>
  </si>
  <si>
    <t>Замена масла в двигателе</t>
  </si>
  <si>
    <t>4,2л</t>
  </si>
  <si>
    <t xml:space="preserve">Mobil 5-W40 </t>
  </si>
  <si>
    <t>замена масла в переднем мосту</t>
  </si>
  <si>
    <t>0,9л</t>
  </si>
  <si>
    <t>Mobil 80-W90</t>
  </si>
  <si>
    <t>замена масла в раздатке</t>
  </si>
  <si>
    <t>2,3л</t>
  </si>
  <si>
    <t>Mobil 75-W90</t>
  </si>
  <si>
    <t>замена масла в коробке</t>
  </si>
  <si>
    <t>2,5л</t>
  </si>
  <si>
    <t>Работы:</t>
  </si>
  <si>
    <t xml:space="preserve">Замена масел </t>
  </si>
  <si>
    <t>Развал\схождение</t>
  </si>
  <si>
    <t>Устранение течи заднего редуктора</t>
  </si>
  <si>
    <t>Мытье форсунок</t>
  </si>
  <si>
    <t>Чистка дросельной заслонки</t>
  </si>
  <si>
    <t>Замена газовых фильтров</t>
  </si>
  <si>
    <t>Болт крепления верхнего рычага</t>
  </si>
  <si>
    <t xml:space="preserve">Mitsubishi MR 113953 </t>
  </si>
  <si>
    <t>Гайка тяги</t>
  </si>
  <si>
    <t xml:space="preserve">Mitsubishi MF 430123 </t>
  </si>
  <si>
    <t xml:space="preserve">Koyo BT2012 </t>
  </si>
  <si>
    <r>
      <rPr>
        <b/>
        <sz val="12"/>
        <color theme="1"/>
        <rFont val="Calibri"/>
        <family val="2"/>
        <scheme val="minor"/>
      </rPr>
      <t>Koyo LM102949/10</t>
    </r>
    <r>
      <rPr>
        <sz val="12"/>
        <color theme="1"/>
        <rFont val="Calibri"/>
        <family val="2"/>
        <scheme val="minor"/>
      </rPr>
      <t>, 
Jakoparts J4705005</t>
    </r>
  </si>
  <si>
    <t xml:space="preserve">MR360150 </t>
  </si>
  <si>
    <t>итог</t>
  </si>
  <si>
    <t>Сайлентблок моста передней подвески</t>
  </si>
  <si>
    <t>Mitsubishi MB 430694</t>
  </si>
  <si>
    <t xml:space="preserve">Полиуретан 3-06-898 </t>
  </si>
  <si>
    <t>Ремкомплект переднего тормозного суппорта</t>
  </si>
  <si>
    <t xml:space="preserve">Mitsubishi MB 857840 </t>
  </si>
  <si>
    <t>Подушка двигателя под коробку</t>
  </si>
  <si>
    <t>Mitsubishi MR 133079</t>
  </si>
  <si>
    <t xml:space="preserve">Febest MM-009 </t>
  </si>
  <si>
    <t>Подушка двигателя задняя успокоитель</t>
  </si>
  <si>
    <t xml:space="preserve">Mitsubishi MB 581845 </t>
  </si>
  <si>
    <t>Опора двигателя</t>
  </si>
  <si>
    <t xml:space="preserve">Mitsubishi MR 210867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</si>
</sst>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charset val="204"/>
    </font>
    <font>
      <sz val="12"/>
      <color indexed="8"/>
      <name val="Calibri"/>
      <family val="2"/>
    </font>
    <font>
      <sz val="12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2"/>
      <color indexed="63"/>
      <name val="Calibri"/>
      <family val="2"/>
      <charset val="204"/>
    </font>
    <font>
      <b/>
      <sz val="12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8" fillId="3" borderId="2" applyNumberFormat="0" applyAlignment="0" applyProtection="0"/>
  </cellStyleXfs>
  <cellXfs count="32">
    <xf numFmtId="0" fontId="0" fillId="0" borderId="0" xfId="0"/>
    <xf numFmtId="0" fontId="2" fillId="2" borderId="1" xfId="1" applyFont="1" applyFill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3" fillId="4" borderId="0" xfId="0" applyFont="1" applyFill="1"/>
    <xf numFmtId="0" fontId="7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0" xfId="0" applyFont="1"/>
    <xf numFmtId="0" fontId="3" fillId="0" borderId="0" xfId="0" applyFont="1" applyAlignment="1">
      <alignment horizontal="left" wrapText="1"/>
    </xf>
    <xf numFmtId="0" fontId="7" fillId="4" borderId="0" xfId="0" applyFont="1" applyFill="1"/>
    <xf numFmtId="0" fontId="10" fillId="4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5" fillId="4" borderId="0" xfId="0" applyFont="1" applyFill="1" applyAlignment="1">
      <alignment vertical="top"/>
    </xf>
    <xf numFmtId="0" fontId="2" fillId="2" borderId="1" xfId="1" applyFont="1" applyFill="1" applyAlignment="1">
      <alignment horizontal="left" vertical="top"/>
    </xf>
    <xf numFmtId="0" fontId="2" fillId="2" borderId="1" xfId="1" applyFont="1" applyFill="1" applyAlignment="1">
      <alignment horizontal="left"/>
    </xf>
    <xf numFmtId="0" fontId="3" fillId="4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8" fillId="3" borderId="2" xfId="2" applyAlignment="1">
      <alignment horizontal="right"/>
    </xf>
    <xf numFmtId="0" fontId="3" fillId="0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right" vertical="top"/>
    </xf>
    <xf numFmtId="0" fontId="4" fillId="0" borderId="0" xfId="0" applyFont="1" applyAlignment="1"/>
    <xf numFmtId="0" fontId="3" fillId="0" borderId="0" xfId="0" applyFont="1" applyAlignment="1">
      <alignment horizontal="right"/>
    </xf>
  </cellXfs>
  <cellStyles count="3">
    <cellStyle name="Calculation" xfId="2" builtinId="22"/>
    <cellStyle name="Heading 3" xfId="1" builtinId="1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tabSelected="1" topLeftCell="A67" workbookViewId="0">
      <selection activeCell="I90" sqref="I90"/>
    </sheetView>
  </sheetViews>
  <sheetFormatPr defaultRowHeight="15.75" x14ac:dyDescent="0.25"/>
  <cols>
    <col min="1" max="1" width="5" style="2" customWidth="1"/>
    <col min="2" max="2" width="44.85546875" style="3" customWidth="1"/>
    <col min="3" max="3" width="12.28515625" style="3" customWidth="1"/>
    <col min="4" max="4" width="27.85546875" style="3" customWidth="1"/>
    <col min="5" max="5" width="9.28515625" style="24" customWidth="1"/>
    <col min="6" max="6" width="16.140625" style="3" customWidth="1"/>
    <col min="7" max="7" width="9.42578125" style="2" customWidth="1"/>
    <col min="8" max="8" width="25.140625" style="2" customWidth="1"/>
    <col min="9" max="9" width="9.140625" style="2"/>
    <col min="10" max="10" width="10" style="2" customWidth="1"/>
    <col min="11" max="16384" width="9.140625" style="2"/>
  </cols>
  <sheetData>
    <row r="1" spans="1:12" s="1" customFormat="1" ht="16.5" thickBot="1" x14ac:dyDescent="0.3">
      <c r="A1" s="1" t="s">
        <v>21</v>
      </c>
      <c r="B1" s="1" t="s">
        <v>17</v>
      </c>
      <c r="C1" s="1" t="s">
        <v>18</v>
      </c>
      <c r="D1" s="1" t="s">
        <v>19</v>
      </c>
      <c r="E1" s="21" t="s">
        <v>85</v>
      </c>
      <c r="F1" s="22" t="s">
        <v>86</v>
      </c>
      <c r="G1" s="1" t="s">
        <v>20</v>
      </c>
      <c r="H1" s="1" t="s">
        <v>59</v>
      </c>
      <c r="I1" s="1" t="s">
        <v>87</v>
      </c>
      <c r="J1" s="1" t="s">
        <v>88</v>
      </c>
      <c r="K1" s="1" t="s">
        <v>89</v>
      </c>
      <c r="L1" s="1" t="s">
        <v>90</v>
      </c>
    </row>
    <row r="2" spans="1:12" s="7" customFormat="1" x14ac:dyDescent="0.25">
      <c r="B2" s="8" t="s">
        <v>0</v>
      </c>
      <c r="C2" s="9"/>
      <c r="D2" s="9"/>
      <c r="E2" s="23"/>
      <c r="F2" s="9"/>
    </row>
    <row r="3" spans="1:12" x14ac:dyDescent="0.25">
      <c r="B3" s="3" t="s">
        <v>8</v>
      </c>
      <c r="C3" s="3">
        <v>1</v>
      </c>
      <c r="D3" s="3" t="s">
        <v>57</v>
      </c>
      <c r="E3" s="2">
        <v>291.23</v>
      </c>
      <c r="F3" s="2">
        <v>291.23</v>
      </c>
      <c r="G3" s="4" t="s">
        <v>15</v>
      </c>
      <c r="H3" s="2" t="s">
        <v>58</v>
      </c>
      <c r="I3" s="2">
        <v>291.23</v>
      </c>
    </row>
    <row r="4" spans="1:12" x14ac:dyDescent="0.25">
      <c r="B4" s="3" t="s">
        <v>9</v>
      </c>
      <c r="C4" s="3">
        <v>1</v>
      </c>
      <c r="D4" s="3" t="s">
        <v>32</v>
      </c>
      <c r="E4" s="2">
        <v>142.16999999999999</v>
      </c>
      <c r="F4" s="2">
        <v>142.16999999999999</v>
      </c>
      <c r="G4" s="4" t="s">
        <v>15</v>
      </c>
      <c r="I4" s="2">
        <v>142.16999999999999</v>
      </c>
    </row>
    <row r="5" spans="1:12" x14ac:dyDescent="0.25">
      <c r="B5" s="3" t="s">
        <v>64</v>
      </c>
      <c r="C5" s="3">
        <v>1</v>
      </c>
      <c r="D5" s="3" t="s">
        <v>65</v>
      </c>
      <c r="E5" s="2">
        <v>4193.7</v>
      </c>
      <c r="F5" s="2">
        <v>4193.7</v>
      </c>
      <c r="G5" s="4" t="s">
        <v>15</v>
      </c>
      <c r="H5" s="3" t="s">
        <v>66</v>
      </c>
      <c r="I5" s="2">
        <v>4193.7</v>
      </c>
    </row>
    <row r="6" spans="1:12" x14ac:dyDescent="0.25">
      <c r="B6" s="3" t="s">
        <v>10</v>
      </c>
      <c r="C6" s="3">
        <v>1</v>
      </c>
      <c r="D6" s="3" t="s">
        <v>68</v>
      </c>
      <c r="E6" s="2">
        <v>630.05999999999995</v>
      </c>
      <c r="F6" s="2">
        <v>630.05999999999995</v>
      </c>
      <c r="G6" s="4" t="s">
        <v>15</v>
      </c>
      <c r="H6" s="3" t="s">
        <v>1</v>
      </c>
      <c r="I6" s="2">
        <v>630.05999999999995</v>
      </c>
    </row>
    <row r="7" spans="1:12" x14ac:dyDescent="0.25">
      <c r="B7" s="3" t="s">
        <v>11</v>
      </c>
      <c r="C7" s="3">
        <v>1</v>
      </c>
      <c r="D7" s="3" t="s">
        <v>67</v>
      </c>
      <c r="E7" s="2">
        <v>871.81</v>
      </c>
      <c r="F7" s="2">
        <v>871.81</v>
      </c>
      <c r="G7" s="4" t="s">
        <v>15</v>
      </c>
      <c r="H7" s="3" t="s">
        <v>2</v>
      </c>
      <c r="I7" s="2">
        <v>871.81</v>
      </c>
    </row>
    <row r="8" spans="1:12" x14ac:dyDescent="0.25">
      <c r="B8" s="3" t="s">
        <v>12</v>
      </c>
      <c r="C8" s="3">
        <v>1</v>
      </c>
      <c r="D8" s="3" t="s">
        <v>33</v>
      </c>
      <c r="E8" s="2">
        <v>3588.07</v>
      </c>
      <c r="F8" s="2">
        <v>3588.07</v>
      </c>
      <c r="G8" s="4" t="s">
        <v>15</v>
      </c>
      <c r="H8" s="2" t="s">
        <v>63</v>
      </c>
      <c r="I8" s="2">
        <v>3588.07</v>
      </c>
    </row>
    <row r="9" spans="1:12" x14ac:dyDescent="0.25">
      <c r="B9" s="3" t="s">
        <v>16</v>
      </c>
      <c r="C9" s="3">
        <v>1</v>
      </c>
      <c r="D9" s="3" t="s">
        <v>37</v>
      </c>
      <c r="E9" s="2">
        <v>281.83999999999997</v>
      </c>
      <c r="F9" s="2">
        <v>281.83999999999997</v>
      </c>
      <c r="G9" s="4" t="s">
        <v>15</v>
      </c>
      <c r="I9" s="2">
        <v>281.83999999999997</v>
      </c>
    </row>
    <row r="10" spans="1:12" ht="31.5" x14ac:dyDescent="0.25">
      <c r="B10" s="3" t="s">
        <v>60</v>
      </c>
      <c r="C10" s="3">
        <v>1</v>
      </c>
      <c r="D10" s="3" t="s">
        <v>61</v>
      </c>
      <c r="E10" s="2">
        <v>1934.01</v>
      </c>
      <c r="F10" s="2">
        <v>1934.01</v>
      </c>
      <c r="G10" s="4" t="s">
        <v>15</v>
      </c>
      <c r="H10" s="10" t="s">
        <v>91</v>
      </c>
      <c r="I10" s="2">
        <v>1934.01</v>
      </c>
    </row>
    <row r="11" spans="1:12" x14ac:dyDescent="0.25">
      <c r="B11" s="2"/>
      <c r="D11" s="2"/>
      <c r="F11" s="25">
        <f>SUM(F3:F10)</f>
        <v>11932.89</v>
      </c>
    </row>
    <row r="12" spans="1:12" s="7" customFormat="1" x14ac:dyDescent="0.25">
      <c r="B12" s="8" t="s">
        <v>22</v>
      </c>
      <c r="C12" s="9"/>
      <c r="D12" s="9"/>
      <c r="E12" s="23"/>
      <c r="F12" s="9"/>
    </row>
    <row r="13" spans="1:12" x14ac:dyDescent="0.25">
      <c r="B13" s="4" t="s">
        <v>39</v>
      </c>
      <c r="C13" s="3">
        <v>1</v>
      </c>
      <c r="D13" s="3" t="s">
        <v>38</v>
      </c>
      <c r="E13" s="11">
        <v>78</v>
      </c>
      <c r="F13" s="11">
        <v>78</v>
      </c>
      <c r="G13" s="2" t="s">
        <v>15</v>
      </c>
    </row>
    <row r="14" spans="1:12" x14ac:dyDescent="0.25">
      <c r="B14" s="6" t="s">
        <v>23</v>
      </c>
      <c r="C14" s="3">
        <v>1</v>
      </c>
      <c r="D14" s="6" t="s">
        <v>24</v>
      </c>
      <c r="E14" s="12">
        <v>96</v>
      </c>
      <c r="F14" s="12">
        <v>96</v>
      </c>
      <c r="G14" s="2" t="s">
        <v>15</v>
      </c>
    </row>
    <row r="15" spans="1:12" x14ac:dyDescent="0.25">
      <c r="B15" s="4" t="s">
        <v>25</v>
      </c>
      <c r="C15" s="3">
        <v>1</v>
      </c>
      <c r="D15" s="5" t="s">
        <v>26</v>
      </c>
      <c r="E15" s="11">
        <v>42</v>
      </c>
      <c r="F15" s="11">
        <v>42</v>
      </c>
      <c r="G15" s="2" t="s">
        <v>15</v>
      </c>
    </row>
    <row r="16" spans="1:12" x14ac:dyDescent="0.25">
      <c r="B16" s="13" t="s">
        <v>92</v>
      </c>
      <c r="C16" s="3">
        <v>1</v>
      </c>
      <c r="D16" s="5" t="s">
        <v>93</v>
      </c>
      <c r="E16" s="24">
        <v>499.79</v>
      </c>
      <c r="F16" s="24">
        <v>499.79</v>
      </c>
      <c r="G16" s="2" t="s">
        <v>15</v>
      </c>
      <c r="I16" s="24">
        <v>499.79</v>
      </c>
    </row>
    <row r="17" spans="1:12" x14ac:dyDescent="0.25">
      <c r="B17" s="13"/>
      <c r="D17" s="5"/>
      <c r="F17" s="25">
        <f>SUM(F13:F16)</f>
        <v>715.79</v>
      </c>
    </row>
    <row r="18" spans="1:12" s="7" customFormat="1" x14ac:dyDescent="0.25">
      <c r="B18" s="8" t="s">
        <v>43</v>
      </c>
      <c r="C18" s="9"/>
      <c r="E18" s="23"/>
      <c r="F18" s="9"/>
    </row>
    <row r="19" spans="1:12" x14ac:dyDescent="0.25">
      <c r="B19" s="3" t="s">
        <v>13</v>
      </c>
      <c r="C19" s="3">
        <v>12</v>
      </c>
      <c r="D19" s="3" t="s">
        <v>34</v>
      </c>
      <c r="E19" s="24">
        <v>70.77</v>
      </c>
      <c r="F19" s="3">
        <v>849.24</v>
      </c>
      <c r="G19" s="4" t="s">
        <v>15</v>
      </c>
      <c r="I19" s="24">
        <v>70.77</v>
      </c>
    </row>
    <row r="20" spans="1:12" x14ac:dyDescent="0.25">
      <c r="B20" s="3" t="s">
        <v>14</v>
      </c>
      <c r="C20" s="3">
        <v>12</v>
      </c>
      <c r="D20" s="3" t="s">
        <v>35</v>
      </c>
      <c r="E20" s="24">
        <v>149.06</v>
      </c>
      <c r="F20" s="3">
        <v>1788.72</v>
      </c>
      <c r="G20" s="4" t="s">
        <v>15</v>
      </c>
      <c r="I20" s="24">
        <v>149.06</v>
      </c>
    </row>
    <row r="21" spans="1:12" x14ac:dyDescent="0.25">
      <c r="B21" s="3" t="s">
        <v>3</v>
      </c>
      <c r="C21" s="3">
        <v>2</v>
      </c>
      <c r="D21" s="3" t="s">
        <v>27</v>
      </c>
      <c r="E21" s="24">
        <v>227.97</v>
      </c>
      <c r="F21" s="3">
        <v>455.94</v>
      </c>
      <c r="G21" s="4" t="s">
        <v>15</v>
      </c>
      <c r="H21" s="2" t="s">
        <v>62</v>
      </c>
      <c r="I21" s="24">
        <v>227.97</v>
      </c>
    </row>
    <row r="22" spans="1:12" x14ac:dyDescent="0.25">
      <c r="B22" s="3" t="s">
        <v>94</v>
      </c>
      <c r="C22" s="3">
        <v>2</v>
      </c>
      <c r="D22" s="3" t="s">
        <v>36</v>
      </c>
      <c r="E22" s="24">
        <v>147.18</v>
      </c>
      <c r="F22" s="3">
        <v>294.36</v>
      </c>
      <c r="G22" s="4" t="s">
        <v>15</v>
      </c>
      <c r="I22" s="24">
        <v>147.18</v>
      </c>
    </row>
    <row r="23" spans="1:12" x14ac:dyDescent="0.25">
      <c r="B23" s="3" t="s">
        <v>4</v>
      </c>
      <c r="C23" s="3">
        <v>1</v>
      </c>
      <c r="D23" s="3" t="s">
        <v>28</v>
      </c>
      <c r="E23" s="24">
        <v>356.99</v>
      </c>
      <c r="F23" s="24">
        <v>356.99</v>
      </c>
      <c r="G23" s="4" t="s">
        <v>15</v>
      </c>
      <c r="I23" s="24">
        <v>356.99</v>
      </c>
    </row>
    <row r="24" spans="1:12" x14ac:dyDescent="0.25">
      <c r="B24" s="3" t="s">
        <v>5</v>
      </c>
      <c r="C24" s="3">
        <v>1</v>
      </c>
      <c r="D24" s="3" t="s">
        <v>29</v>
      </c>
      <c r="E24" s="24">
        <v>212.94</v>
      </c>
      <c r="F24" s="24">
        <v>212.94</v>
      </c>
      <c r="G24" s="4" t="s">
        <v>15</v>
      </c>
      <c r="I24" s="24">
        <v>212.94</v>
      </c>
    </row>
    <row r="25" spans="1:12" x14ac:dyDescent="0.25">
      <c r="B25" s="3" t="s">
        <v>6</v>
      </c>
      <c r="C25" s="3">
        <v>6</v>
      </c>
      <c r="D25" s="3" t="s">
        <v>30</v>
      </c>
      <c r="E25" s="24">
        <v>246.76</v>
      </c>
      <c r="F25" s="3">
        <v>1480.56</v>
      </c>
      <c r="G25" s="4" t="s">
        <v>15</v>
      </c>
      <c r="I25" s="24">
        <v>246.76</v>
      </c>
    </row>
    <row r="26" spans="1:12" x14ac:dyDescent="0.25">
      <c r="B26" s="3" t="s">
        <v>7</v>
      </c>
      <c r="C26" s="3">
        <v>2</v>
      </c>
      <c r="D26" s="3" t="s">
        <v>31</v>
      </c>
      <c r="E26" s="24">
        <v>497.28</v>
      </c>
      <c r="F26" s="3">
        <v>994.56</v>
      </c>
      <c r="G26" s="4" t="s">
        <v>15</v>
      </c>
      <c r="I26" s="24">
        <v>497.28</v>
      </c>
    </row>
    <row r="27" spans="1:12" x14ac:dyDescent="0.25">
      <c r="B27" s="14" t="s">
        <v>169</v>
      </c>
      <c r="C27" s="3">
        <v>1</v>
      </c>
      <c r="D27" s="3" t="s">
        <v>170</v>
      </c>
      <c r="E27" s="24">
        <v>2882.79</v>
      </c>
      <c r="F27" s="24">
        <v>2882.79</v>
      </c>
      <c r="G27" s="4" t="s">
        <v>15</v>
      </c>
      <c r="H27" s="2" t="s">
        <v>171</v>
      </c>
      <c r="I27" s="24">
        <v>2882.79</v>
      </c>
    </row>
    <row r="28" spans="1:12" x14ac:dyDescent="0.25">
      <c r="B28" s="14" t="s">
        <v>172</v>
      </c>
      <c r="C28" s="3">
        <v>1</v>
      </c>
      <c r="D28" s="3" t="s">
        <v>173</v>
      </c>
      <c r="E28" s="24">
        <v>1059</v>
      </c>
      <c r="F28" s="24">
        <v>1059</v>
      </c>
      <c r="G28" s="4" t="s">
        <v>15</v>
      </c>
      <c r="I28" s="24">
        <v>1059</v>
      </c>
    </row>
    <row r="29" spans="1:12" x14ac:dyDescent="0.25">
      <c r="B29" s="14" t="s">
        <v>174</v>
      </c>
      <c r="C29" s="3">
        <v>2</v>
      </c>
      <c r="D29" s="3" t="s">
        <v>175</v>
      </c>
      <c r="E29" s="24">
        <v>2039.03</v>
      </c>
      <c r="F29" s="3">
        <v>4078.06</v>
      </c>
      <c r="G29" s="4" t="s">
        <v>15</v>
      </c>
      <c r="I29" s="24">
        <v>2039.03</v>
      </c>
    </row>
    <row r="30" spans="1:12" s="7" customFormat="1" x14ac:dyDescent="0.25">
      <c r="A30" s="2"/>
      <c r="B30" s="13" t="s">
        <v>95</v>
      </c>
      <c r="C30" s="3">
        <v>1</v>
      </c>
      <c r="D30" s="5" t="s">
        <v>96</v>
      </c>
      <c r="E30" s="24">
        <v>206.05</v>
      </c>
      <c r="F30" s="24">
        <v>206.05</v>
      </c>
      <c r="G30" s="4" t="s">
        <v>15</v>
      </c>
      <c r="H30" s="2"/>
      <c r="I30" s="24">
        <v>206.05</v>
      </c>
      <c r="J30" s="2"/>
      <c r="K30" s="2"/>
      <c r="L30" s="2"/>
    </row>
    <row r="31" spans="1:12" x14ac:dyDescent="0.25">
      <c r="F31" s="25">
        <f>SUM(F19:F30)</f>
        <v>14659.209999999997</v>
      </c>
    </row>
    <row r="32" spans="1:12" x14ac:dyDescent="0.25">
      <c r="A32" s="7"/>
      <c r="B32" s="15" t="s">
        <v>42</v>
      </c>
      <c r="C32" s="9"/>
      <c r="D32" s="7"/>
      <c r="E32" s="23"/>
      <c r="F32" s="9"/>
      <c r="G32" s="7"/>
      <c r="H32" s="7"/>
      <c r="I32" s="7"/>
      <c r="J32" s="7"/>
      <c r="K32" s="7"/>
      <c r="L32" s="7"/>
    </row>
    <row r="33" spans="1:12" x14ac:dyDescent="0.25">
      <c r="B33" s="4" t="s">
        <v>41</v>
      </c>
      <c r="C33" s="3">
        <v>6</v>
      </c>
      <c r="D33" s="5" t="s">
        <v>40</v>
      </c>
      <c r="E33" s="24">
        <v>631.30999999999995</v>
      </c>
      <c r="F33" s="3">
        <v>3787.86</v>
      </c>
      <c r="G33" s="4" t="s">
        <v>15</v>
      </c>
    </row>
    <row r="34" spans="1:12" s="7" customFormat="1" x14ac:dyDescent="0.25">
      <c r="A34" s="2"/>
      <c r="B34" s="4" t="s">
        <v>44</v>
      </c>
      <c r="C34" s="3">
        <v>1</v>
      </c>
      <c r="D34" s="5" t="s">
        <v>45</v>
      </c>
      <c r="E34" s="24"/>
      <c r="F34" s="3"/>
      <c r="G34" s="2"/>
      <c r="H34" s="2"/>
      <c r="I34" s="2"/>
      <c r="J34" s="2"/>
      <c r="K34" s="2"/>
      <c r="L34" s="2"/>
    </row>
    <row r="35" spans="1:12" x14ac:dyDescent="0.25">
      <c r="B35" s="2"/>
      <c r="F35" s="25">
        <f>SUM(F33:F34)</f>
        <v>3787.86</v>
      </c>
    </row>
    <row r="36" spans="1:12" x14ac:dyDescent="0.25">
      <c r="A36" s="7"/>
      <c r="B36" s="8" t="s">
        <v>46</v>
      </c>
      <c r="C36" s="9"/>
      <c r="D36" s="9"/>
      <c r="E36" s="23"/>
      <c r="F36" s="9"/>
      <c r="G36" s="7"/>
      <c r="H36" s="7"/>
      <c r="I36" s="7"/>
      <c r="J36" s="7"/>
      <c r="K36" s="7"/>
      <c r="L36" s="7"/>
    </row>
    <row r="37" spans="1:12" x14ac:dyDescent="0.25">
      <c r="B37" s="3" t="s">
        <v>48</v>
      </c>
      <c r="C37" s="3">
        <v>1</v>
      </c>
      <c r="D37" s="3" t="s">
        <v>47</v>
      </c>
      <c r="E37" s="24">
        <v>494.97</v>
      </c>
      <c r="F37" s="24">
        <v>494.97</v>
      </c>
      <c r="G37" s="4" t="s">
        <v>15</v>
      </c>
      <c r="H37" s="3" t="s">
        <v>162</v>
      </c>
      <c r="I37" s="24"/>
      <c r="J37" s="2">
        <v>494.97</v>
      </c>
    </row>
    <row r="38" spans="1:12" x14ac:dyDescent="0.25">
      <c r="B38" s="3" t="s">
        <v>49</v>
      </c>
      <c r="C38" s="3">
        <v>1</v>
      </c>
      <c r="D38" s="3" t="s">
        <v>50</v>
      </c>
      <c r="E38" s="24">
        <v>657.41</v>
      </c>
      <c r="F38" s="24">
        <v>657.41</v>
      </c>
      <c r="G38" s="4" t="s">
        <v>15</v>
      </c>
      <c r="H38" s="3"/>
      <c r="I38" s="24"/>
      <c r="J38" s="2">
        <v>657.41</v>
      </c>
    </row>
    <row r="39" spans="1:12" s="7" customFormat="1" x14ac:dyDescent="0.25">
      <c r="A39" s="2"/>
      <c r="B39" s="3" t="s">
        <v>51</v>
      </c>
      <c r="C39" s="3">
        <v>1</v>
      </c>
      <c r="D39" s="3" t="s">
        <v>52</v>
      </c>
      <c r="E39" s="24">
        <v>803.04</v>
      </c>
      <c r="F39" s="24">
        <v>803.04</v>
      </c>
      <c r="G39" s="4" t="s">
        <v>15</v>
      </c>
      <c r="H39" s="3"/>
      <c r="I39" s="24"/>
      <c r="J39" s="2">
        <v>803.04</v>
      </c>
      <c r="K39" s="2"/>
      <c r="L39" s="2"/>
    </row>
    <row r="40" spans="1:12" x14ac:dyDescent="0.25">
      <c r="F40" s="25">
        <f>SUM(F37:F39)</f>
        <v>1955.42</v>
      </c>
    </row>
    <row r="41" spans="1:12" x14ac:dyDescent="0.25">
      <c r="A41" s="7"/>
      <c r="B41" s="8" t="s">
        <v>70</v>
      </c>
      <c r="C41" s="9"/>
      <c r="D41" s="9"/>
      <c r="E41" s="23"/>
      <c r="F41" s="9"/>
      <c r="G41" s="7"/>
      <c r="H41" s="7"/>
      <c r="I41" s="7"/>
      <c r="J41" s="7"/>
      <c r="K41" s="7"/>
      <c r="L41" s="7"/>
    </row>
    <row r="42" spans="1:12" x14ac:dyDescent="0.25">
      <c r="B42" s="3" t="s">
        <v>71</v>
      </c>
      <c r="C42" s="3">
        <v>1</v>
      </c>
      <c r="D42" s="3" t="s">
        <v>79</v>
      </c>
      <c r="E42" s="24">
        <v>4947.9399999999996</v>
      </c>
      <c r="F42" s="24">
        <v>4947.9399999999996</v>
      </c>
      <c r="G42" s="4" t="s">
        <v>15</v>
      </c>
      <c r="H42" s="2" t="s">
        <v>80</v>
      </c>
      <c r="I42" s="24">
        <v>4947.9399999999996</v>
      </c>
    </row>
    <row r="43" spans="1:12" x14ac:dyDescent="0.25">
      <c r="B43" s="3" t="s">
        <v>72</v>
      </c>
      <c r="C43" s="3">
        <v>1</v>
      </c>
      <c r="D43" s="3" t="s">
        <v>78</v>
      </c>
      <c r="E43" s="24">
        <v>4689.97</v>
      </c>
      <c r="F43" s="24">
        <v>4689.97</v>
      </c>
      <c r="G43" s="4" t="s">
        <v>15</v>
      </c>
      <c r="H43" s="3" t="s">
        <v>77</v>
      </c>
      <c r="I43" s="24">
        <v>4689.97</v>
      </c>
    </row>
    <row r="44" spans="1:12" x14ac:dyDescent="0.25">
      <c r="B44" s="3" t="s">
        <v>73</v>
      </c>
      <c r="C44" s="3">
        <v>1</v>
      </c>
      <c r="D44" s="3" t="s">
        <v>76</v>
      </c>
      <c r="E44" s="24">
        <v>1266.2</v>
      </c>
      <c r="F44" s="24">
        <v>1266.2</v>
      </c>
      <c r="G44" s="4" t="s">
        <v>15</v>
      </c>
      <c r="H44" s="3" t="s">
        <v>81</v>
      </c>
      <c r="I44" s="24">
        <v>1266.2</v>
      </c>
    </row>
    <row r="45" spans="1:12" ht="31.5" x14ac:dyDescent="0.25">
      <c r="B45" s="14" t="s">
        <v>97</v>
      </c>
      <c r="C45" s="3">
        <v>2</v>
      </c>
      <c r="D45" s="3" t="s">
        <v>74</v>
      </c>
      <c r="E45" s="3">
        <v>791.3</v>
      </c>
      <c r="F45" s="3">
        <v>791.3</v>
      </c>
      <c r="G45" s="4" t="s">
        <v>15</v>
      </c>
      <c r="I45" s="3">
        <v>791.3</v>
      </c>
    </row>
    <row r="46" spans="1:12" ht="31.5" x14ac:dyDescent="0.25">
      <c r="B46" s="14" t="s">
        <v>98</v>
      </c>
      <c r="C46" s="3">
        <v>2</v>
      </c>
      <c r="D46" s="3" t="s">
        <v>75</v>
      </c>
      <c r="I46" s="24"/>
    </row>
    <row r="47" spans="1:12" x14ac:dyDescent="0.25">
      <c r="B47" s="3" t="s">
        <v>82</v>
      </c>
      <c r="C47" s="3">
        <v>2</v>
      </c>
      <c r="D47" s="3" t="s">
        <v>83</v>
      </c>
      <c r="E47" s="24">
        <v>2526.1799999999998</v>
      </c>
      <c r="F47" s="3">
        <v>5052.3599999999997</v>
      </c>
      <c r="G47" s="4" t="s">
        <v>15</v>
      </c>
      <c r="H47" s="2" t="s">
        <v>84</v>
      </c>
      <c r="I47" s="24">
        <v>2526.1799999999998</v>
      </c>
    </row>
    <row r="48" spans="1:12" ht="31.5" x14ac:dyDescent="0.25">
      <c r="B48" s="14" t="s">
        <v>99</v>
      </c>
      <c r="C48" s="3">
        <v>1</v>
      </c>
      <c r="D48" s="3" t="s">
        <v>100</v>
      </c>
      <c r="E48" s="3">
        <v>1062</v>
      </c>
      <c r="F48" s="3">
        <v>1062</v>
      </c>
      <c r="G48" s="30" t="s">
        <v>15</v>
      </c>
    </row>
    <row r="49" spans="1:12" x14ac:dyDescent="0.25">
      <c r="B49" s="3" t="s">
        <v>101</v>
      </c>
      <c r="C49" s="3">
        <v>2</v>
      </c>
      <c r="D49" s="3" t="s">
        <v>102</v>
      </c>
      <c r="E49" s="24">
        <v>462</v>
      </c>
      <c r="F49" s="3">
        <v>923</v>
      </c>
      <c r="G49" s="2" t="s">
        <v>15</v>
      </c>
    </row>
    <row r="50" spans="1:12" x14ac:dyDescent="0.25">
      <c r="B50" s="3" t="s">
        <v>103</v>
      </c>
      <c r="C50" s="3">
        <v>2</v>
      </c>
      <c r="D50" s="3" t="s">
        <v>104</v>
      </c>
      <c r="E50" s="24">
        <v>632</v>
      </c>
      <c r="F50" s="3">
        <v>1264</v>
      </c>
      <c r="G50" s="2" t="s">
        <v>15</v>
      </c>
    </row>
    <row r="51" spans="1:12" s="7" customFormat="1" x14ac:dyDescent="0.25">
      <c r="A51" s="2"/>
      <c r="B51" s="3" t="s">
        <v>105</v>
      </c>
      <c r="C51" s="3">
        <v>2</v>
      </c>
      <c r="D51" s="3" t="s">
        <v>106</v>
      </c>
      <c r="E51" s="24">
        <v>676</v>
      </c>
      <c r="F51" s="3">
        <v>1351</v>
      </c>
      <c r="G51" s="2" t="s">
        <v>15</v>
      </c>
      <c r="H51" s="2"/>
      <c r="I51" s="2"/>
      <c r="J51" s="2"/>
      <c r="K51" s="2"/>
      <c r="L51" s="2"/>
    </row>
    <row r="52" spans="1:12" s="19" customFormat="1" x14ac:dyDescent="0.25">
      <c r="A52" s="2"/>
      <c r="B52" s="3"/>
      <c r="C52" s="3"/>
      <c r="D52" s="3"/>
      <c r="E52" s="24"/>
      <c r="F52" s="25">
        <f>SUM(F42:F51)</f>
        <v>21347.77</v>
      </c>
      <c r="G52" s="2"/>
      <c r="H52" s="2"/>
      <c r="I52" s="2"/>
      <c r="J52" s="2"/>
      <c r="K52" s="2"/>
      <c r="L52" s="2"/>
    </row>
    <row r="53" spans="1:12" s="19" customFormat="1" x14ac:dyDescent="0.25">
      <c r="A53" s="7"/>
      <c r="B53" s="16" t="s">
        <v>107</v>
      </c>
      <c r="C53" s="9"/>
      <c r="D53" s="9"/>
      <c r="E53" s="23"/>
      <c r="F53" s="9"/>
      <c r="G53" s="7"/>
      <c r="H53" s="7"/>
      <c r="I53" s="7"/>
      <c r="J53" s="7"/>
      <c r="K53" s="7"/>
      <c r="L53" s="7"/>
    </row>
    <row r="54" spans="1:12" s="19" customFormat="1" x14ac:dyDescent="0.25">
      <c r="A54" s="3"/>
      <c r="B54" s="14" t="s">
        <v>108</v>
      </c>
      <c r="C54" s="3">
        <v>1</v>
      </c>
      <c r="D54" s="3" t="s">
        <v>109</v>
      </c>
      <c r="E54" s="24">
        <v>6138.77</v>
      </c>
      <c r="F54" s="31">
        <v>6138.77</v>
      </c>
      <c r="G54" s="2" t="s">
        <v>15</v>
      </c>
      <c r="H54" s="3"/>
      <c r="I54" s="24">
        <v>6512.89</v>
      </c>
      <c r="J54" s="3">
        <v>6138.77</v>
      </c>
      <c r="K54" s="3"/>
      <c r="L54" s="3"/>
    </row>
    <row r="55" spans="1:12" s="19" customFormat="1" x14ac:dyDescent="0.25">
      <c r="A55" s="3"/>
      <c r="B55" s="14" t="s">
        <v>110</v>
      </c>
      <c r="C55" s="3">
        <v>1</v>
      </c>
      <c r="D55" s="3" t="s">
        <v>111</v>
      </c>
      <c r="E55" s="24">
        <v>6247.88</v>
      </c>
      <c r="F55" s="31">
        <v>6247.88</v>
      </c>
      <c r="G55" s="2" t="s">
        <v>15</v>
      </c>
      <c r="H55" s="3"/>
      <c r="I55" s="24">
        <v>6668.84</v>
      </c>
      <c r="J55" s="3">
        <v>6247.88</v>
      </c>
      <c r="K55" s="3"/>
      <c r="L55" s="3"/>
    </row>
    <row r="56" spans="1:12" s="19" customFormat="1" x14ac:dyDescent="0.25">
      <c r="B56" s="17" t="s">
        <v>156</v>
      </c>
      <c r="C56" s="18">
        <v>4</v>
      </c>
      <c r="D56" s="18" t="s">
        <v>157</v>
      </c>
      <c r="E56" s="29">
        <v>594.25</v>
      </c>
      <c r="F56" s="28">
        <v>2377</v>
      </c>
      <c r="G56" s="2" t="s">
        <v>15</v>
      </c>
      <c r="I56" s="26">
        <v>495</v>
      </c>
    </row>
    <row r="57" spans="1:12" x14ac:dyDescent="0.25">
      <c r="A57" s="19"/>
      <c r="B57" s="19" t="s">
        <v>164</v>
      </c>
      <c r="C57" s="18">
        <v>1</v>
      </c>
      <c r="D57" s="19" t="s">
        <v>165</v>
      </c>
      <c r="E57" s="19">
        <v>726.25</v>
      </c>
      <c r="F57" s="19">
        <v>726.25</v>
      </c>
      <c r="G57" s="2" t="s">
        <v>15</v>
      </c>
      <c r="H57" s="19" t="s">
        <v>166</v>
      </c>
      <c r="I57" s="18">
        <v>726.25</v>
      </c>
      <c r="J57" s="19"/>
      <c r="K57" s="19"/>
      <c r="L57" s="19"/>
    </row>
    <row r="58" spans="1:12" s="7" customFormat="1" x14ac:dyDescent="0.25">
      <c r="A58" s="19"/>
      <c r="B58" s="17" t="s">
        <v>158</v>
      </c>
      <c r="C58" s="18">
        <v>4</v>
      </c>
      <c r="D58" s="18" t="s">
        <v>159</v>
      </c>
      <c r="E58" s="29">
        <v>72.73</v>
      </c>
      <c r="F58" s="28">
        <v>292</v>
      </c>
      <c r="G58" s="2" t="s">
        <v>15</v>
      </c>
      <c r="H58" s="19"/>
      <c r="I58" s="26">
        <v>73</v>
      </c>
      <c r="J58" s="19"/>
      <c r="K58" s="19"/>
      <c r="L58" s="19"/>
    </row>
    <row r="59" spans="1:12" s="3" customFormat="1" x14ac:dyDescent="0.25">
      <c r="A59" s="2"/>
      <c r="E59" s="24"/>
      <c r="F59" s="25">
        <f>SUM(F54:F58)</f>
        <v>15781.900000000001</v>
      </c>
      <c r="G59" s="2"/>
      <c r="H59" s="2"/>
      <c r="I59" s="2"/>
      <c r="J59" s="2"/>
      <c r="K59" s="2"/>
      <c r="L59" s="2"/>
    </row>
    <row r="60" spans="1:12" s="3" customFormat="1" x14ac:dyDescent="0.25">
      <c r="A60" s="7"/>
      <c r="B60" s="8" t="s">
        <v>112</v>
      </c>
      <c r="C60" s="9"/>
      <c r="D60" s="9"/>
      <c r="E60" s="23"/>
      <c r="F60" s="9"/>
      <c r="G60" s="7"/>
      <c r="H60" s="7"/>
      <c r="I60" s="7"/>
      <c r="J60" s="7"/>
      <c r="K60" s="7"/>
      <c r="L60" s="7"/>
    </row>
    <row r="61" spans="1:12" s="3" customFormat="1" x14ac:dyDescent="0.25">
      <c r="B61" s="14" t="s">
        <v>113</v>
      </c>
      <c r="C61" s="3">
        <v>2</v>
      </c>
      <c r="D61" s="3" t="s">
        <v>114</v>
      </c>
      <c r="E61" s="24">
        <v>255.72</v>
      </c>
      <c r="F61" s="3">
        <v>511.44</v>
      </c>
      <c r="G61" s="30" t="s">
        <v>15</v>
      </c>
      <c r="H61" s="3" t="s">
        <v>160</v>
      </c>
      <c r="I61" s="24"/>
      <c r="J61" s="3">
        <v>255.72</v>
      </c>
    </row>
    <row r="62" spans="1:12" s="3" customFormat="1" x14ac:dyDescent="0.25">
      <c r="B62" s="3" t="s">
        <v>115</v>
      </c>
      <c r="C62" s="3">
        <v>2</v>
      </c>
      <c r="D62" s="3" t="s">
        <v>116</v>
      </c>
      <c r="E62" s="3">
        <v>401.86</v>
      </c>
      <c r="F62" s="3">
        <v>803.72</v>
      </c>
      <c r="G62" s="30" t="s">
        <v>15</v>
      </c>
      <c r="J62" s="3">
        <v>401.86</v>
      </c>
    </row>
    <row r="63" spans="1:12" s="3" customFormat="1" x14ac:dyDescent="0.25">
      <c r="B63" s="3" t="s">
        <v>117</v>
      </c>
      <c r="C63" s="3">
        <v>2</v>
      </c>
      <c r="D63" s="3" t="s">
        <v>118</v>
      </c>
      <c r="E63" s="3">
        <v>694.78</v>
      </c>
      <c r="F63" s="3">
        <v>1680</v>
      </c>
      <c r="G63" s="30" t="s">
        <v>15</v>
      </c>
      <c r="H63" s="3" t="s">
        <v>119</v>
      </c>
      <c r="I63" s="3">
        <v>694.78</v>
      </c>
      <c r="J63" s="3">
        <v>290.44</v>
      </c>
    </row>
    <row r="64" spans="1:12" s="3" customFormat="1" ht="31.5" x14ac:dyDescent="0.25">
      <c r="B64" s="14" t="s">
        <v>120</v>
      </c>
      <c r="C64" s="3">
        <v>1</v>
      </c>
      <c r="D64" s="3" t="s">
        <v>121</v>
      </c>
      <c r="E64" s="3">
        <v>901.94</v>
      </c>
      <c r="F64" s="3">
        <v>901.94</v>
      </c>
      <c r="G64" s="30" t="s">
        <v>15</v>
      </c>
      <c r="H64" s="3" t="s">
        <v>122</v>
      </c>
      <c r="I64" s="3">
        <v>901.94</v>
      </c>
    </row>
    <row r="65" spans="1:12" s="3" customFormat="1" x14ac:dyDescent="0.25">
      <c r="B65" s="14" t="s">
        <v>123</v>
      </c>
      <c r="C65" s="3">
        <v>2</v>
      </c>
      <c r="D65" s="3" t="s">
        <v>124</v>
      </c>
      <c r="E65" s="24">
        <v>3239.16</v>
      </c>
      <c r="F65" s="3">
        <v>6478.32</v>
      </c>
      <c r="G65" s="30" t="s">
        <v>15</v>
      </c>
      <c r="H65" s="3" t="s">
        <v>125</v>
      </c>
      <c r="I65" s="24">
        <v>3239.16</v>
      </c>
    </row>
    <row r="66" spans="1:12" s="3" customFormat="1" x14ac:dyDescent="0.25">
      <c r="B66" s="3" t="s">
        <v>167</v>
      </c>
      <c r="C66" s="3">
        <v>2</v>
      </c>
      <c r="D66" s="3" t="s">
        <v>168</v>
      </c>
      <c r="E66" s="3">
        <v>932.82</v>
      </c>
      <c r="F66" s="3">
        <v>1865.64</v>
      </c>
      <c r="G66" s="30" t="s">
        <v>15</v>
      </c>
      <c r="I66" s="3">
        <v>932.82</v>
      </c>
    </row>
    <row r="67" spans="1:12" s="3" customFormat="1" x14ac:dyDescent="0.25">
      <c r="B67" s="14" t="s">
        <v>126</v>
      </c>
      <c r="C67" s="3">
        <v>1</v>
      </c>
      <c r="D67" s="3" t="s">
        <v>127</v>
      </c>
      <c r="E67" s="24">
        <v>1440.25</v>
      </c>
      <c r="F67" s="3">
        <v>1440.25</v>
      </c>
      <c r="G67" s="30" t="s">
        <v>15</v>
      </c>
      <c r="H67" s="3" t="s">
        <v>128</v>
      </c>
      <c r="I67" s="24">
        <v>1440.25</v>
      </c>
    </row>
    <row r="68" spans="1:12" ht="31.5" x14ac:dyDescent="0.25">
      <c r="A68" s="3"/>
      <c r="B68" s="14" t="s">
        <v>129</v>
      </c>
      <c r="C68" s="3" t="s">
        <v>130</v>
      </c>
      <c r="D68" s="3" t="s">
        <v>131</v>
      </c>
      <c r="E68" s="3">
        <v>770.78</v>
      </c>
      <c r="F68" s="3">
        <v>3083.12</v>
      </c>
      <c r="G68" s="30" t="s">
        <v>15</v>
      </c>
      <c r="H68" s="14" t="s">
        <v>161</v>
      </c>
      <c r="I68" s="3">
        <v>770.78</v>
      </c>
      <c r="J68" s="3"/>
      <c r="K68" s="3"/>
      <c r="L68" s="3"/>
    </row>
    <row r="69" spans="1:12" s="7" customFormat="1" x14ac:dyDescent="0.25">
      <c r="A69" s="3"/>
      <c r="B69" s="14" t="s">
        <v>132</v>
      </c>
      <c r="C69" s="3">
        <v>2</v>
      </c>
      <c r="D69" s="3" t="s">
        <v>133</v>
      </c>
      <c r="E69" s="24">
        <v>486.71</v>
      </c>
      <c r="F69" s="3">
        <v>973.42</v>
      </c>
      <c r="G69" s="4" t="s">
        <v>15</v>
      </c>
      <c r="H69" s="3"/>
      <c r="I69" s="24">
        <v>486.71</v>
      </c>
      <c r="J69" s="3"/>
      <c r="K69" s="3"/>
      <c r="L69" s="3"/>
    </row>
    <row r="70" spans="1:12" s="4" customFormat="1" x14ac:dyDescent="0.25">
      <c r="A70" s="2"/>
      <c r="B70" s="3"/>
      <c r="C70" s="3"/>
      <c r="D70" s="3"/>
      <c r="E70" s="24"/>
      <c r="F70" s="25">
        <f>SUM(F61:F69)</f>
        <v>17737.849999999999</v>
      </c>
      <c r="G70" s="2"/>
      <c r="H70" s="2"/>
      <c r="I70" s="2"/>
      <c r="J70" s="2"/>
      <c r="K70" s="2"/>
      <c r="L70" s="2"/>
    </row>
    <row r="71" spans="1:12" x14ac:dyDescent="0.25">
      <c r="A71" s="7"/>
      <c r="B71" s="8" t="s">
        <v>134</v>
      </c>
      <c r="C71" s="9"/>
      <c r="D71" s="9"/>
      <c r="E71" s="23"/>
      <c r="F71" s="9"/>
      <c r="G71" s="7"/>
      <c r="H71" s="7"/>
      <c r="I71" s="7"/>
      <c r="J71" s="7"/>
      <c r="K71" s="7"/>
      <c r="L71" s="7"/>
    </row>
    <row r="72" spans="1:12" x14ac:dyDescent="0.25">
      <c r="A72" s="4"/>
      <c r="B72" s="4" t="s">
        <v>135</v>
      </c>
      <c r="C72" s="4" t="s">
        <v>136</v>
      </c>
      <c r="D72" s="4" t="s">
        <v>137</v>
      </c>
      <c r="E72" s="27">
        <v>1100</v>
      </c>
      <c r="F72" s="27">
        <v>3300</v>
      </c>
      <c r="G72" s="4" t="s">
        <v>15</v>
      </c>
      <c r="H72" s="4"/>
      <c r="I72" s="4"/>
      <c r="J72" s="4"/>
      <c r="K72" s="4"/>
      <c r="L72" s="4"/>
    </row>
    <row r="73" spans="1:12" x14ac:dyDescent="0.25">
      <c r="B73" s="4" t="s">
        <v>138</v>
      </c>
      <c r="C73" s="2" t="s">
        <v>139</v>
      </c>
      <c r="D73" s="5" t="s">
        <v>140</v>
      </c>
      <c r="E73" s="24">
        <v>1690</v>
      </c>
      <c r="F73" s="11">
        <v>1690</v>
      </c>
      <c r="G73" s="4" t="s">
        <v>15</v>
      </c>
    </row>
    <row r="74" spans="1:12" x14ac:dyDescent="0.25">
      <c r="B74" s="4" t="s">
        <v>141</v>
      </c>
      <c r="C74" s="3" t="s">
        <v>142</v>
      </c>
      <c r="D74" s="5" t="s">
        <v>143</v>
      </c>
      <c r="E74" s="24">
        <v>360</v>
      </c>
      <c r="F74" s="3">
        <v>360</v>
      </c>
      <c r="G74" s="4" t="s">
        <v>15</v>
      </c>
    </row>
    <row r="75" spans="1:12" x14ac:dyDescent="0.25">
      <c r="B75" s="4" t="s">
        <v>144</v>
      </c>
      <c r="C75" s="2" t="s">
        <v>145</v>
      </c>
      <c r="D75" s="5" t="s">
        <v>146</v>
      </c>
      <c r="E75" s="24">
        <v>770</v>
      </c>
      <c r="F75" s="3">
        <v>1925</v>
      </c>
      <c r="G75" s="4" t="s">
        <v>15</v>
      </c>
    </row>
    <row r="76" spans="1:12" s="7" customFormat="1" x14ac:dyDescent="0.25">
      <c r="A76" s="2"/>
      <c r="B76" s="4" t="s">
        <v>147</v>
      </c>
      <c r="C76" s="2" t="s">
        <v>148</v>
      </c>
      <c r="D76" s="5" t="s">
        <v>146</v>
      </c>
      <c r="E76" s="24">
        <v>770</v>
      </c>
      <c r="F76" s="3">
        <v>1925</v>
      </c>
      <c r="G76" s="4" t="s">
        <v>15</v>
      </c>
      <c r="H76" s="2"/>
      <c r="I76" s="2"/>
      <c r="J76" s="2"/>
      <c r="K76" s="2"/>
      <c r="L76" s="2"/>
    </row>
    <row r="77" spans="1:12" x14ac:dyDescent="0.25">
      <c r="B77" s="4"/>
      <c r="C77" s="2"/>
      <c r="D77" s="5"/>
      <c r="F77" s="25">
        <f>SUM(F72:F76)</f>
        <v>9200</v>
      </c>
    </row>
    <row r="78" spans="1:12" x14ac:dyDescent="0.25">
      <c r="A78" s="7"/>
      <c r="B78" s="16" t="s">
        <v>149</v>
      </c>
      <c r="C78" s="7"/>
      <c r="D78" s="20"/>
      <c r="E78" s="23"/>
      <c r="F78" s="9"/>
      <c r="G78" s="7"/>
      <c r="H78" s="7"/>
      <c r="I78" s="7"/>
      <c r="J78" s="7"/>
      <c r="K78" s="7"/>
      <c r="L78" s="7"/>
    </row>
    <row r="79" spans="1:12" x14ac:dyDescent="0.25">
      <c r="B79" s="4" t="s">
        <v>150</v>
      </c>
      <c r="C79" s="2"/>
      <c r="D79" s="5"/>
    </row>
    <row r="80" spans="1:12" x14ac:dyDescent="0.25">
      <c r="B80" s="4" t="s">
        <v>151</v>
      </c>
      <c r="C80" s="2"/>
      <c r="D80" s="5"/>
    </row>
    <row r="81" spans="1:12" x14ac:dyDescent="0.25">
      <c r="B81" s="4" t="s">
        <v>152</v>
      </c>
      <c r="C81" s="2"/>
      <c r="D81" s="5"/>
      <c r="E81" s="24">
        <v>5000</v>
      </c>
      <c r="F81" s="24">
        <v>5000</v>
      </c>
    </row>
    <row r="82" spans="1:12" x14ac:dyDescent="0.25">
      <c r="B82" s="4" t="s">
        <v>153</v>
      </c>
      <c r="C82" s="2"/>
      <c r="D82" s="5"/>
    </row>
    <row r="83" spans="1:12" x14ac:dyDescent="0.25">
      <c r="B83" s="4" t="s">
        <v>154</v>
      </c>
      <c r="C83" s="2"/>
      <c r="D83" s="5"/>
    </row>
    <row r="84" spans="1:12" s="7" customFormat="1" x14ac:dyDescent="0.25">
      <c r="A84" s="2"/>
      <c r="B84" s="4" t="s">
        <v>155</v>
      </c>
      <c r="C84" s="2"/>
      <c r="D84" s="5"/>
      <c r="E84" s="24"/>
      <c r="F84" s="3"/>
      <c r="G84" s="2"/>
      <c r="H84" s="2"/>
      <c r="I84" s="2"/>
      <c r="J84" s="2"/>
      <c r="K84" s="2"/>
      <c r="L84" s="2"/>
    </row>
    <row r="85" spans="1:12" x14ac:dyDescent="0.25">
      <c r="F85" s="25">
        <f>SUM(F79:F84)</f>
        <v>5000</v>
      </c>
    </row>
    <row r="86" spans="1:12" x14ac:dyDescent="0.25">
      <c r="A86" s="7"/>
      <c r="B86" s="8" t="s">
        <v>69</v>
      </c>
      <c r="C86" s="9"/>
      <c r="D86" s="9"/>
      <c r="E86" s="23"/>
      <c r="F86" s="9"/>
      <c r="G86" s="7"/>
      <c r="H86" s="7"/>
      <c r="I86" s="7"/>
      <c r="J86" s="7"/>
      <c r="K86" s="7"/>
      <c r="L86" s="7"/>
    </row>
    <row r="87" spans="1:12" x14ac:dyDescent="0.25">
      <c r="B87" s="3" t="s">
        <v>55</v>
      </c>
      <c r="C87" s="3">
        <v>1</v>
      </c>
      <c r="D87" s="3" t="s">
        <v>56</v>
      </c>
    </row>
    <row r="88" spans="1:12" x14ac:dyDescent="0.25">
      <c r="B88" t="s">
        <v>53</v>
      </c>
      <c r="C88" s="3">
        <v>1</v>
      </c>
      <c r="D88" s="3" t="s">
        <v>54</v>
      </c>
      <c r="E88" s="24">
        <v>374</v>
      </c>
      <c r="F88" s="3">
        <v>374</v>
      </c>
      <c r="G88" s="4" t="s">
        <v>15</v>
      </c>
    </row>
    <row r="89" spans="1:12" x14ac:dyDescent="0.25">
      <c r="E89" s="24" t="s">
        <v>163</v>
      </c>
      <c r="F89" s="25">
        <f>SUM(F11,F17,F31,F35,F40,F52,F59,F70,F77)</f>
        <v>97118.69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2015-11-12T07:12:12Z</dcterms:modified>
</cp:coreProperties>
</file>