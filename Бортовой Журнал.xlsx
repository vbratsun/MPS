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0" yWindow="-435" windowWidth="19320" windowHeight="15480" activeTab="2"/>
  </bookViews>
  <sheets>
    <sheet name="БортЖурнал" sheetId="1" r:id="rId1"/>
    <sheet name="Запасные части" sheetId="6" r:id="rId2"/>
    <sheet name="ТО200" sheetId="7" r:id="rId3"/>
    <sheet name="Телефоны СТО и продавцов" sheetId="5" r:id="rId4"/>
    <sheet name="Полиуритан" sheetId="2" r:id="rId5"/>
    <sheet name="Замечания" sheetId="4" r:id="rId6"/>
    <sheet name="Задние суппорта" sheetId="3" r:id="rId7"/>
  </sheets>
  <calcPr calcId="152511"/>
</workbook>
</file>

<file path=xl/calcChain.xml><?xml version="1.0" encoding="utf-8"?>
<calcChain xmlns="http://schemas.openxmlformats.org/spreadsheetml/2006/main">
  <c r="F81" i="7" l="1"/>
  <c r="F38" i="7"/>
  <c r="F33" i="7"/>
  <c r="F29" i="7"/>
  <c r="F17" i="7"/>
  <c r="F11" i="7"/>
  <c r="F50" i="7" l="1"/>
  <c r="F56" i="7"/>
  <c r="F66" i="7"/>
  <c r="F73" i="7" l="1"/>
</calcChain>
</file>

<file path=xl/sharedStrings.xml><?xml version="1.0" encoding="utf-8"?>
<sst xmlns="http://schemas.openxmlformats.org/spreadsheetml/2006/main" count="771" uniqueCount="602">
  <si>
    <t>№ ТО</t>
  </si>
  <si>
    <t>Пробег. Км</t>
  </si>
  <si>
    <t>Виды Работ</t>
  </si>
  <si>
    <t>Номера Деталей</t>
  </si>
  <si>
    <t>покупка авто</t>
  </si>
  <si>
    <t>замена резины с 245\70 r16 зимней на 255\70 r16 летней</t>
  </si>
  <si>
    <t>Цена</t>
  </si>
  <si>
    <t>5816грн</t>
  </si>
  <si>
    <t xml:space="preserve">Шиномонтаж </t>
  </si>
  <si>
    <t>120грн</t>
  </si>
  <si>
    <t>Держатель декоративного колпака -замена</t>
  </si>
  <si>
    <t>160грн</t>
  </si>
  <si>
    <t>Коврики салонные полиуритановые</t>
  </si>
  <si>
    <t>Запорожские</t>
  </si>
  <si>
    <t>680грн</t>
  </si>
  <si>
    <t>Коврик багажника из плохого полиуритана</t>
  </si>
  <si>
    <t>180грн</t>
  </si>
  <si>
    <t>ключи на 19 и 32</t>
  </si>
  <si>
    <t>100грн</t>
  </si>
  <si>
    <t>аптечка</t>
  </si>
  <si>
    <t>Следующая замена</t>
  </si>
  <si>
    <t>съемник для сошки</t>
  </si>
  <si>
    <t>210грн</t>
  </si>
  <si>
    <t>съемник для шаровой</t>
  </si>
  <si>
    <t>Сошка рулевого управления</t>
  </si>
  <si>
    <t>230грн</t>
  </si>
  <si>
    <t>Yamato IW5017 (Mitsubishi MR 592134)</t>
  </si>
  <si>
    <t>Ремонт обогрева заднего стекла/зеркал/дворников</t>
  </si>
  <si>
    <t>150грн</t>
  </si>
  <si>
    <t>Опора шаровая верхняя</t>
  </si>
  <si>
    <t>Mitsubishi MB 860829</t>
  </si>
  <si>
    <t>389грн</t>
  </si>
  <si>
    <t>Шприцовка Сошки рулевого управления и Верхней левой шаровой опоры</t>
  </si>
  <si>
    <t>Замена ремня ГРМ</t>
  </si>
  <si>
    <t>Втулка механизма выбора передачи</t>
  </si>
  <si>
    <t>Mitsubishi MD 701577</t>
  </si>
  <si>
    <t>25грн</t>
  </si>
  <si>
    <t>Развал\схождение</t>
  </si>
  <si>
    <t>Mitsubishi MB 937580</t>
  </si>
  <si>
    <t>38грн</t>
  </si>
  <si>
    <t>Mitsubishi MD 739289</t>
  </si>
  <si>
    <r>
      <rPr>
        <b/>
        <i/>
        <u/>
        <sz val="12"/>
        <color indexed="8"/>
        <rFont val="Calibri"/>
        <family val="2"/>
      </rPr>
      <t>150000</t>
    </r>
    <r>
      <rPr>
        <sz val="12"/>
        <color indexed="8"/>
        <rFont val="Calibri"/>
        <family val="2"/>
      </rPr>
      <t xml:space="preserve">
замена масла в двигателе
замена масла в коробке
замена масла в раздатке
замена тормозной жидкости
замена масла в заднем мосту
замена масла в переднем мосту
Замена охлаждающей жидкости
</t>
    </r>
  </si>
  <si>
    <r>
      <t xml:space="preserve">Балансировка </t>
    </r>
    <r>
      <rPr>
        <b/>
        <i/>
        <u/>
        <sz val="12"/>
        <color indexed="8"/>
        <rFont val="Calibri"/>
        <family val="2"/>
      </rPr>
      <t>148000</t>
    </r>
  </si>
  <si>
    <t>31грн</t>
  </si>
  <si>
    <t xml:space="preserve">Рулевой Демпфер </t>
  </si>
  <si>
    <t>1200грн</t>
  </si>
  <si>
    <t>IronMan</t>
  </si>
  <si>
    <t>Резина зимняя:
Kumho I Zen RV KC15 (107H) 245\70 r16
Резина летняя:
Cooper Discoverer A\T3 (111T) 255\70 r16</t>
  </si>
  <si>
    <r>
      <t xml:space="preserve">Развал\Схождение </t>
    </r>
    <r>
      <rPr>
        <b/>
        <i/>
        <u/>
        <sz val="12"/>
        <rFont val="Calibri"/>
        <family val="2"/>
      </rPr>
      <t>167600</t>
    </r>
  </si>
  <si>
    <t>70грн</t>
  </si>
  <si>
    <t>Перемещение резины справа налево</t>
  </si>
  <si>
    <t>Установка рулевого демпфера</t>
  </si>
  <si>
    <t>400грн</t>
  </si>
  <si>
    <t>Замена масла в двигателе</t>
  </si>
  <si>
    <t>замена масла в переднем мосту</t>
  </si>
  <si>
    <t>замена масла в раздатке</t>
  </si>
  <si>
    <t>замена масла в коробке</t>
  </si>
  <si>
    <t>замена масляного фильтра</t>
  </si>
  <si>
    <t>замена воздушного фильтра</t>
  </si>
  <si>
    <t>60грн</t>
  </si>
  <si>
    <t>40грн</t>
  </si>
  <si>
    <t>герметик</t>
  </si>
  <si>
    <t>10грн</t>
  </si>
  <si>
    <t>Mobil 5-W40 (объем 4,2л)</t>
  </si>
  <si>
    <t>265грн</t>
  </si>
  <si>
    <t>Mobil 80-W90 (объем 0,9л)</t>
  </si>
  <si>
    <t>57грн</t>
  </si>
  <si>
    <t>Mobil 75-W90 (объем 2,3л)</t>
  </si>
  <si>
    <t>Mobil 75-W90 (объем 2,5л)</t>
  </si>
  <si>
    <t>Чехол на руль кожзам</t>
  </si>
  <si>
    <t>Силикон белый для резины</t>
  </si>
  <si>
    <t>85грн</t>
  </si>
  <si>
    <t>Установка Декоративной сетки для радиатора (черная 2шт)</t>
  </si>
  <si>
    <t>Пульт дистанционного управления для магнитолы</t>
  </si>
  <si>
    <t>130грн</t>
  </si>
  <si>
    <t>Kenwood</t>
  </si>
  <si>
    <t>Mitsubishi MR 150767</t>
  </si>
  <si>
    <t>Втулка переднего стабилизатора внешняя 2шт.</t>
  </si>
  <si>
    <t>Mitsubishi MR 267649</t>
  </si>
  <si>
    <t>Втулка переднего стабилизатора внутренняя 2шт.</t>
  </si>
  <si>
    <t>86грн</t>
  </si>
  <si>
    <t>33грн</t>
  </si>
  <si>
    <t>Mitsubishi MB 153825</t>
  </si>
  <si>
    <t>Mitsubishi MR 586053</t>
  </si>
  <si>
    <t>172грн</t>
  </si>
  <si>
    <t>Стойка стабилизатора заднего 2шт.</t>
  </si>
  <si>
    <t>Mitsubishi MB 338594</t>
  </si>
  <si>
    <t>46грн</t>
  </si>
  <si>
    <t>Майки на сидения</t>
  </si>
  <si>
    <t>115грн</t>
  </si>
  <si>
    <t>Замена Салонного фильтра</t>
  </si>
  <si>
    <t>Фаркоп</t>
  </si>
  <si>
    <t>СТО ФРЕД</t>
  </si>
  <si>
    <t>Пятка для фаркопа с шаром</t>
  </si>
  <si>
    <t>500грн</t>
  </si>
  <si>
    <t>524грн</t>
  </si>
  <si>
    <t>Mobil 75-W90 LS (объем 2.7л)</t>
  </si>
  <si>
    <t>Дворник заднего стекла</t>
  </si>
  <si>
    <t>35грн</t>
  </si>
  <si>
    <t>Замена масла в заднем мосту (3л.)</t>
  </si>
  <si>
    <t>Шприцевание 2х верхних шаровых и рулевой сошки</t>
  </si>
  <si>
    <t>Литол</t>
  </si>
  <si>
    <t>Bosh 40мм.</t>
  </si>
  <si>
    <t>Замена топливного фильтра</t>
  </si>
  <si>
    <t>237грн</t>
  </si>
  <si>
    <t>Mitsubishi MR 212200</t>
  </si>
  <si>
    <t>50грн</t>
  </si>
  <si>
    <t>Диагностика свечей - к замене провода и свечи</t>
  </si>
  <si>
    <t>Смазка для крестовин кардана</t>
  </si>
  <si>
    <t xml:space="preserve">Шприцевание 2х верхних шаровых, рулевой сошки, 3х крестовин </t>
  </si>
  <si>
    <t>Установлен Брызговик передний левый б\у</t>
  </si>
  <si>
    <t>Провода высоковольтные</t>
  </si>
  <si>
    <t>922грн</t>
  </si>
  <si>
    <t>509грн</t>
  </si>
  <si>
    <t>Свечи зажигания 6шт</t>
  </si>
  <si>
    <t>Mitsubishi MD 371794</t>
  </si>
  <si>
    <t>Denso PK16PR-P11</t>
  </si>
  <si>
    <t>600грн</t>
  </si>
  <si>
    <t>Сто СтартАвто</t>
  </si>
  <si>
    <t>Замена проводов, замена свечей, чистка инжектора</t>
  </si>
  <si>
    <t>Ferodo FDB 1570</t>
  </si>
  <si>
    <t>398грн</t>
  </si>
  <si>
    <t>Ferodo FDB 765</t>
  </si>
  <si>
    <t>354грн</t>
  </si>
  <si>
    <t>Брызговик передний левый</t>
  </si>
  <si>
    <t>Mitsubishi MR 463741</t>
  </si>
  <si>
    <t>294грн</t>
  </si>
  <si>
    <t>Диски колесные  7JJX16" 6X139.7 ET10</t>
  </si>
  <si>
    <t>Mitsubishi MZ 556307</t>
  </si>
  <si>
    <t>2000грн</t>
  </si>
  <si>
    <t>Mann W 811/80</t>
  </si>
  <si>
    <t>63грн</t>
  </si>
  <si>
    <t xml:space="preserve">Промывочное масло </t>
  </si>
  <si>
    <t>ZIC</t>
  </si>
  <si>
    <t>Название</t>
  </si>
  <si>
    <t>Номер</t>
  </si>
  <si>
    <t>№</t>
  </si>
  <si>
    <t>К-во на машине</t>
  </si>
  <si>
    <t>Втулка заднего стабилизатора (Средняя)</t>
  </si>
  <si>
    <t>2шт.</t>
  </si>
  <si>
    <t xml:space="preserve">Резинки стоек заднего стабилизатора </t>
  </si>
  <si>
    <t>8шт.</t>
  </si>
  <si>
    <t>Втулка переднего стабилизатора (внутренняя)</t>
  </si>
  <si>
    <t>Цена за шт.</t>
  </si>
  <si>
    <t>43грн.</t>
  </si>
  <si>
    <t>23грн.</t>
  </si>
  <si>
    <t>Аналог из полиуритана</t>
  </si>
  <si>
    <t>Втулка переднего стабилизатора (внешняя)</t>
  </si>
  <si>
    <t>60грн.</t>
  </si>
  <si>
    <t>Резинки Подушки переднего стабилизатора</t>
  </si>
  <si>
    <t>4шт.</t>
  </si>
  <si>
    <t>Mitsubishi MR 296507</t>
  </si>
  <si>
    <t>78грн</t>
  </si>
  <si>
    <t>3-01-476</t>
  </si>
  <si>
    <t>Размер</t>
  </si>
  <si>
    <t>ID = 23 mm</t>
  </si>
  <si>
    <t>3-01-329</t>
  </si>
  <si>
    <t>94.92 грн.</t>
  </si>
  <si>
    <t>ID = 31 mm</t>
  </si>
  <si>
    <t xml:space="preserve">98.72 грн. </t>
  </si>
  <si>
    <t>3-01-328</t>
  </si>
  <si>
    <t>ID = 20 mm</t>
  </si>
  <si>
    <t>91.12 грн.</t>
  </si>
  <si>
    <t>Ремонтные размеры</t>
  </si>
  <si>
    <t>17мм(3-01-3287),18мм(3-01-3288)</t>
  </si>
  <si>
    <t>0-02-010-R</t>
  </si>
  <si>
    <t>ID = 10 mm</t>
  </si>
  <si>
    <t>Mitsubishi MF 244855</t>
  </si>
  <si>
    <t>Замена Колодки тормозные дисковые передние, комплект "Premier"</t>
  </si>
  <si>
    <t>Замена Колодки тормозные дисковые задние, комплект "Premier"</t>
  </si>
  <si>
    <t>Замена Фильтр масляный</t>
  </si>
  <si>
    <t xml:space="preserve">Замена Масло моторное </t>
  </si>
  <si>
    <t xml:space="preserve">KIA\Carisma </t>
  </si>
  <si>
    <t xml:space="preserve">Перемещение передних\задних колес </t>
  </si>
  <si>
    <t>435грн</t>
  </si>
  <si>
    <t>ТО 160 работа</t>
  </si>
  <si>
    <t>Kayaba RD5962</t>
  </si>
  <si>
    <t>750грн</t>
  </si>
  <si>
    <t>Замена пружин задних 2шт.</t>
  </si>
  <si>
    <t>Кольчуга</t>
  </si>
  <si>
    <t>900грн</t>
  </si>
  <si>
    <t>910грн</t>
  </si>
  <si>
    <t>Denso DOX-0343</t>
  </si>
  <si>
    <t>Установка Защита двигателя и коробки</t>
  </si>
  <si>
    <t>Mitsubishi MB 698713</t>
  </si>
  <si>
    <t>68грн</t>
  </si>
  <si>
    <t>Установка Выключатель освещения салона передний правый</t>
  </si>
  <si>
    <t xml:space="preserve">Установка ГБО форсунки() редуктор() Блок уравления() балон </t>
  </si>
  <si>
    <t>10800грн</t>
  </si>
  <si>
    <t>форсунки(Hana) редуктор(Tomaseto) 
Блок уравления(Zenit Pro) балон 72л</t>
  </si>
  <si>
    <r>
      <t xml:space="preserve">166000 </t>
    </r>
    <r>
      <rPr>
        <sz val="12"/>
        <rFont val="Calibri"/>
        <family val="2"/>
      </rPr>
      <t>Обтяжка шлангов</t>
    </r>
  </si>
  <si>
    <t>Замена ГБО фильтра</t>
  </si>
  <si>
    <t xml:space="preserve">Установка калитки </t>
  </si>
  <si>
    <t>250$</t>
  </si>
  <si>
    <t>300$</t>
  </si>
  <si>
    <t>2000р</t>
  </si>
  <si>
    <t>Maleh</t>
  </si>
  <si>
    <t>200р</t>
  </si>
  <si>
    <t>Ремонт трещины лобового стекла</t>
  </si>
  <si>
    <t>1000р</t>
  </si>
  <si>
    <t>Камера заднего вида КМОП бабочка</t>
  </si>
  <si>
    <t>установка камеры заднего вида</t>
  </si>
  <si>
    <t>Рамка для номера с подсветкой</t>
  </si>
  <si>
    <t>400р</t>
  </si>
  <si>
    <t>500р</t>
  </si>
  <si>
    <t>avtomag.crimea.ua</t>
  </si>
  <si>
    <t>Фонарь освещения номерного знака</t>
  </si>
  <si>
    <t>Mitsubishi MB 859364</t>
  </si>
  <si>
    <t>Установка Фонарь освещения номерного знака</t>
  </si>
  <si>
    <t>75р</t>
  </si>
  <si>
    <t>Салонный фильтр</t>
  </si>
  <si>
    <t>480р</t>
  </si>
  <si>
    <t>Замена Масло моторное</t>
  </si>
  <si>
    <t>Замена резинок стоек стабилизатора заднего 8шт.</t>
  </si>
  <si>
    <t>Втулка рычага кпп</t>
  </si>
  <si>
    <t>Потеет раздатка откуда то сверху в районе Рычага включения</t>
  </si>
  <si>
    <t>Появились следы масла чуть выше маслянного фильтра</t>
  </si>
  <si>
    <t>наблюдается масло в районе свечных колодцев и задних сальников распредвала</t>
  </si>
  <si>
    <t>Имя мастера</t>
  </si>
  <si>
    <t>Телефон</t>
  </si>
  <si>
    <t>Город</t>
  </si>
  <si>
    <t>Виды работ</t>
  </si>
  <si>
    <t>Адрес</t>
  </si>
  <si>
    <t>СТО "ФРЕД"</t>
  </si>
  <si>
    <t>Алик</t>
  </si>
  <si>
    <t>Симферополь</t>
  </si>
  <si>
    <t xml:space="preserve"> работа по металлу,обвес и тюнинг</t>
  </si>
  <si>
    <t>Магазин "RED"</t>
  </si>
  <si>
    <t>Севастополь</t>
  </si>
  <si>
    <t>Элементы тюнинга, запчасти под заказ</t>
  </si>
  <si>
    <t>Полиуритановые изделия</t>
  </si>
  <si>
    <t>Ворхин Олег</t>
  </si>
  <si>
    <t>38(050) 367 66 66</t>
  </si>
  <si>
    <t>Киев</t>
  </si>
  <si>
    <t>vtulka.in.ua, Время работы: Пн.-Пт. - 9-19; Суббота - 10-16</t>
  </si>
  <si>
    <t>СТО "СтартАвто"</t>
  </si>
  <si>
    <t>Вова</t>
  </si>
  <si>
    <t>38(050) 667 45 85</t>
  </si>
  <si>
    <t xml:space="preserve">Электрика, </t>
  </si>
  <si>
    <t>Руднева 1-Г, Автодвор</t>
  </si>
  <si>
    <t>Александр</t>
  </si>
  <si>
    <t xml:space="preserve">38(050) 935 78 86 </t>
  </si>
  <si>
    <t>Электрика, ксенон, автосвет</t>
  </si>
  <si>
    <t>Объездная 10, Радиорынок, Бутик 113а, ГСК 13</t>
  </si>
  <si>
    <t>Олег Садовин</t>
  </si>
  <si>
    <t>123грн</t>
  </si>
  <si>
    <t xml:space="preserve">Работа по замене сошки </t>
  </si>
  <si>
    <t>600р</t>
  </si>
  <si>
    <t>Пыльник шаровой ВАЗ (Прозрачный 2шт.)</t>
  </si>
  <si>
    <t>40р</t>
  </si>
  <si>
    <t>Blue Print ADC48751</t>
  </si>
  <si>
    <t>593грн</t>
  </si>
  <si>
    <t>Knecht (Mahle Filter) LX 989</t>
  </si>
  <si>
    <t>133грн</t>
  </si>
  <si>
    <t>Фильтр воздушный двигателя</t>
  </si>
  <si>
    <t>Замена Втулка заднего стабилизатора 2шт.</t>
  </si>
  <si>
    <t xml:space="preserve">Пыльник рулевой сошки  </t>
  </si>
  <si>
    <t>Mitsubishi MR 589967</t>
  </si>
  <si>
    <t>137грн</t>
  </si>
  <si>
    <t>Фильтры газовые</t>
  </si>
  <si>
    <t>550р</t>
  </si>
  <si>
    <t>Диагностика лямбда зондов (Не работает Б1С1)</t>
  </si>
  <si>
    <t>Уплотнение корпуса дроссельной заслонки</t>
  </si>
  <si>
    <t xml:space="preserve">Mitsubishi MD 184662 </t>
  </si>
  <si>
    <t>42грн</t>
  </si>
  <si>
    <t>24грн</t>
  </si>
  <si>
    <t>Прокладка впускного колектора (верхняя)</t>
  </si>
  <si>
    <t xml:space="preserve">Mitsubishi MD 331883 </t>
  </si>
  <si>
    <t>96грн</t>
  </si>
  <si>
    <t>Прокладка впускного коллектора (нижняя)</t>
  </si>
  <si>
    <t xml:space="preserve">Mitsubishi MD 199282 </t>
  </si>
  <si>
    <t>Замена Лямбда зонда переднего правого (Б1С1)</t>
  </si>
  <si>
    <t xml:space="preserve">BLUE PRINT ADC47037 </t>
  </si>
  <si>
    <t>3530р</t>
  </si>
  <si>
    <t xml:space="preserve">Работа по замене лямбда зонда </t>
  </si>
  <si>
    <t xml:space="preserve">Mitsubishi MB 109665 </t>
  </si>
  <si>
    <t>310р</t>
  </si>
  <si>
    <t>Сканер ошибок OBD2 ELM327BTmini</t>
  </si>
  <si>
    <t>700р</t>
  </si>
  <si>
    <t xml:space="preserve">Blue Print ADC47018 </t>
  </si>
  <si>
    <t>1422грн</t>
  </si>
  <si>
    <t>Замена Датчик кислородный Б2С1</t>
  </si>
  <si>
    <t>Кольцо уплотнительное выпускной системы коническое графитовое</t>
  </si>
  <si>
    <t>Mitsubishi 1575A082</t>
  </si>
  <si>
    <t>267грн</t>
  </si>
  <si>
    <t>Замена Кольцо уплотнительное выпускной системы коническое графитовое</t>
  </si>
  <si>
    <t>Крышка радиатора</t>
  </si>
  <si>
    <t>Mitsubishi MR 597126</t>
  </si>
  <si>
    <t>185грн</t>
  </si>
  <si>
    <t>Установка рамки подсветки без подключения электрики</t>
  </si>
  <si>
    <t xml:space="preserve">Mitsubishi MR 431025 </t>
  </si>
  <si>
    <t>122грн</t>
  </si>
  <si>
    <t>падение оборотов при холодном пуске</t>
  </si>
  <si>
    <t xml:space="preserve">Hyundai/Kia 51840-4A800 </t>
  </si>
  <si>
    <t>256грн</t>
  </si>
  <si>
    <t>Клапан включения переднего моста</t>
  </si>
  <si>
    <t xml:space="preserve">Mitsubishi MB 338594 </t>
  </si>
  <si>
    <t>112грн</t>
  </si>
  <si>
    <t>Втулка переднего стабилизатора наружная 2шт.</t>
  </si>
  <si>
    <t xml:space="preserve">Mitsubishi MR 150767 </t>
  </si>
  <si>
    <t>156грн</t>
  </si>
  <si>
    <t xml:space="preserve">Mitsubishi MR 267649 </t>
  </si>
  <si>
    <t>142грн</t>
  </si>
  <si>
    <t>Съемник для масляного фильтра</t>
  </si>
  <si>
    <t>360р</t>
  </si>
  <si>
    <t>Фильтр Маслянный</t>
  </si>
  <si>
    <t>250р</t>
  </si>
  <si>
    <t>1600р</t>
  </si>
  <si>
    <t>Масло моторное</t>
  </si>
  <si>
    <t>Промывка масла 4л</t>
  </si>
  <si>
    <t xml:space="preserve">Антифриз G12 </t>
  </si>
  <si>
    <t>Hana (объем 6л)</t>
  </si>
  <si>
    <t xml:space="preserve"> Zik (объем 4л)</t>
  </si>
  <si>
    <t>Дистилированная вода</t>
  </si>
  <si>
    <t xml:space="preserve"> Вода (объем 10л)</t>
  </si>
  <si>
    <t>50р</t>
  </si>
  <si>
    <t>Манометр колесный</t>
  </si>
  <si>
    <t>380р</t>
  </si>
  <si>
    <t xml:space="preserve">Съемник для кислородного датчика </t>
  </si>
  <si>
    <t>TopTool</t>
  </si>
  <si>
    <t>375р</t>
  </si>
  <si>
    <t>Ремонт и регулировка замка багажника</t>
  </si>
  <si>
    <t>Работа по замене масла и ОЖ</t>
  </si>
  <si>
    <t>900р</t>
  </si>
  <si>
    <t>Запасные части</t>
  </si>
  <si>
    <t>Mobil 5-W40</t>
  </si>
  <si>
    <t xml:space="preserve">Mitsubishi MB 831043 </t>
  </si>
  <si>
    <t>1200грн.</t>
  </si>
  <si>
    <t xml:space="preserve">Датчик включения заднего хода </t>
  </si>
  <si>
    <t xml:space="preserve">Mitsubishi ME 581047 </t>
  </si>
  <si>
    <t>379грн.</t>
  </si>
  <si>
    <t xml:space="preserve">Mitsubishi MR 296274 </t>
  </si>
  <si>
    <t>1294грн.</t>
  </si>
  <si>
    <t>Замена Пыльник торсиона</t>
  </si>
  <si>
    <t>Замена Наконечник рулевой внешний 2шт.</t>
  </si>
  <si>
    <t>Набор инструмента</t>
  </si>
  <si>
    <t>Hans</t>
  </si>
  <si>
    <t>14000р</t>
  </si>
  <si>
    <t>Замена Наконечник рулевой внутренний 2шт.</t>
  </si>
  <si>
    <t>Mitsubishi MR 296269</t>
  </si>
  <si>
    <t>2128р</t>
  </si>
  <si>
    <t>Замена Опора шаровая нижняя левая</t>
  </si>
  <si>
    <t>Mitsubishi MR 296270</t>
  </si>
  <si>
    <t>Замена Опора шаровая нижняя правая</t>
  </si>
  <si>
    <t>2340р</t>
  </si>
  <si>
    <t>Регулировка ступичных подшипников перед. Левый\правый</t>
  </si>
  <si>
    <t xml:space="preserve">Шприцевание 4х шаровых, рулевых наконечников 4х, рулевой сошки, 3х крестовин </t>
  </si>
  <si>
    <t>Работы по замене</t>
  </si>
  <si>
    <t>4000р</t>
  </si>
  <si>
    <t>555 SI-7805</t>
  </si>
  <si>
    <t>2392р</t>
  </si>
  <si>
    <t>Рычаг маятниковый рулевого механизма</t>
  </si>
  <si>
    <t>Балансировка 4х колес</t>
  </si>
  <si>
    <t>1320р</t>
  </si>
  <si>
    <t>вибрации при скорости 90-120км\ч</t>
  </si>
  <si>
    <t>Перемещение резины зад&gt;перед</t>
  </si>
  <si>
    <t>Амортизаторы передние</t>
  </si>
  <si>
    <t>KONI H/T 30-1456</t>
  </si>
  <si>
    <t>10512р</t>
  </si>
  <si>
    <t>Амортизаторы задние</t>
  </si>
  <si>
    <t>KONI H/T 30-1705</t>
  </si>
  <si>
    <t>12658р</t>
  </si>
  <si>
    <t>Замена Лямбда зонд передний левый Б2С1</t>
  </si>
  <si>
    <t>Фильтр масляный двигателя</t>
  </si>
  <si>
    <t xml:space="preserve">Mann W 811/80 </t>
  </si>
  <si>
    <t>165р</t>
  </si>
  <si>
    <t>Удаление 3х катализаторов, установка пламегасителей и проставок для задних ЛЗ.</t>
  </si>
  <si>
    <t>negudit.ru</t>
  </si>
  <si>
    <t>23000р</t>
  </si>
  <si>
    <t xml:space="preserve">Denso DOX-0343 </t>
  </si>
  <si>
    <t>Датчик кислородный Б2С1</t>
  </si>
  <si>
    <t>4542р</t>
  </si>
  <si>
    <t>Работа по замене кислородного датчика</t>
  </si>
  <si>
    <t xml:space="preserve">Потеки масла из под прокладки левой клапанной крышки </t>
  </si>
  <si>
    <t>Гарантия год</t>
  </si>
  <si>
    <t>1950р</t>
  </si>
  <si>
    <t>Работа по замене амортизаторов перед</t>
  </si>
  <si>
    <t>Работа по замене амортизаторов зад</t>
  </si>
  <si>
    <t>3000р</t>
  </si>
  <si>
    <t>Работа по замене масла</t>
  </si>
  <si>
    <t>Александ Snooper СПб</t>
  </si>
  <si>
    <t>жесткость 3</t>
  </si>
  <si>
    <t>жесткость 2</t>
  </si>
  <si>
    <t>Владимир</t>
  </si>
  <si>
    <t>СПб</t>
  </si>
  <si>
    <t>Выхлоп-сервис</t>
  </si>
  <si>
    <t>Олонецкая ул, д. 10, м.Удельная</t>
  </si>
  <si>
    <t>Александр (Snooper)</t>
  </si>
  <si>
    <t>pajero4x4.ru</t>
  </si>
  <si>
    <t>7(812) 9222550</t>
  </si>
  <si>
    <t>7(921) 8825155</t>
  </si>
  <si>
    <t>Все по Паджеро</t>
  </si>
  <si>
    <t>ул. Дорога на Турухтанные острова, д. 12</t>
  </si>
  <si>
    <t>рыскание по дороге</t>
  </si>
  <si>
    <t>autovoservice.ru</t>
  </si>
  <si>
    <t>Развал схождение</t>
  </si>
  <si>
    <t>СТО "Автовосервис"</t>
  </si>
  <si>
    <t>2850р</t>
  </si>
  <si>
    <t>mazaev-club.ru</t>
  </si>
  <si>
    <t>Виталик</t>
  </si>
  <si>
    <t>Развал схождение, кузовные работы</t>
  </si>
  <si>
    <t>В.О., 26 линия, д.3А</t>
  </si>
  <si>
    <t>Мазаев Моторс</t>
  </si>
  <si>
    <t>сделал развал схождение</t>
  </si>
  <si>
    <t>http://crt.ru/search/recognize/</t>
  </si>
  <si>
    <t>http://www.polyurethan.ru/?ukey=susp&amp;c=MMC201407&amp;vid=6508&amp;ssd=vinid@15666702~vehid@6508~_@ej9OrOl_6-Y!&amp;listall=1&amp;vi=602270</t>
  </si>
  <si>
    <t>Задние сайлентблоки 6 шт</t>
  </si>
  <si>
    <t>Пыльники шрусов внешние 2шт</t>
  </si>
  <si>
    <t>Пыльники шрусов внутренние 2шт (москвич)</t>
  </si>
  <si>
    <t>Пружина крепления колпака колесного</t>
  </si>
  <si>
    <t xml:space="preserve">Mitsubishi MB 624908 </t>
  </si>
  <si>
    <t>Брызговик передний левый б\у</t>
  </si>
  <si>
    <t xml:space="preserve">Knecht (Mahle Filter) LX 989 </t>
  </si>
  <si>
    <t>443р</t>
  </si>
  <si>
    <t>звук подобный затиранию левого колеса при повороте направо</t>
  </si>
  <si>
    <t>Замена затчика включения заднего хода</t>
  </si>
  <si>
    <t>350р</t>
  </si>
  <si>
    <t xml:space="preserve">отпотевает редуктор заднего моста по периметру </t>
  </si>
  <si>
    <t>ошибка р0120 появляется в дождь</t>
  </si>
  <si>
    <t>Масло для заднего дифференциала</t>
  </si>
  <si>
    <t>3300р</t>
  </si>
  <si>
    <t>Замена ламп габаритов в передних фарах</t>
  </si>
  <si>
    <t>Nord YADA 902680 
(T10 13SMD (size 3528x12+5050x1) 
W5W (W2,1x9,5d) 12V 
светодиод WHITE(белый) TM Nord YADA)</t>
  </si>
  <si>
    <t>220р</t>
  </si>
  <si>
    <t>Деревянная педаль тормоза утром</t>
  </si>
  <si>
    <t xml:space="preserve">Ремень генератора </t>
  </si>
  <si>
    <t xml:space="preserve">Ремень гидроусилителя руля </t>
  </si>
  <si>
    <t>Полиуретан 3-01-3287</t>
  </si>
  <si>
    <t>476р</t>
  </si>
  <si>
    <t>Задние тормоза:</t>
  </si>
  <si>
    <r>
      <t xml:space="preserve">Суппорт задний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Правый</t>
    </r>
  </si>
  <si>
    <t>Mitsubishi MB 858465</t>
  </si>
  <si>
    <t>Febest 0477-V45RR</t>
  </si>
  <si>
    <r>
      <t xml:space="preserve">Суппорт задний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Левый</t>
    </r>
  </si>
  <si>
    <t>Mitsubishi MB 858464</t>
  </si>
  <si>
    <t>Febest 0477-V45RL</t>
  </si>
  <si>
    <r>
      <t xml:space="preserve">Колодки задние </t>
    </r>
    <r>
      <rPr>
        <b/>
        <sz val="12"/>
        <color theme="1"/>
        <rFont val="Calibri"/>
        <family val="2"/>
        <scheme val="minor"/>
      </rPr>
      <t>П2</t>
    </r>
  </si>
  <si>
    <t>Mitsubishi MR 389571</t>
  </si>
  <si>
    <t>Brembo P 54 018</t>
  </si>
  <si>
    <r>
      <t xml:space="preserve">Комплект монтажный тормозных колодок задних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(пружинки)</t>
    </r>
  </si>
  <si>
    <t>Mitsubishi MR 389628</t>
  </si>
  <si>
    <r>
      <t xml:space="preserve">Пластины колодок противоскрипные </t>
    </r>
    <r>
      <rPr>
        <b/>
        <sz val="12"/>
        <color theme="1"/>
        <rFont val="Calibri"/>
        <family val="2"/>
        <scheme val="minor"/>
      </rPr>
      <t>П2</t>
    </r>
  </si>
  <si>
    <t>Mitsubishi MR 389691</t>
  </si>
  <si>
    <t>Деталь</t>
  </si>
  <si>
    <t>Количество</t>
  </si>
  <si>
    <t>Есть\Нет</t>
  </si>
  <si>
    <t>Аналог</t>
  </si>
  <si>
    <t>ГРМ:</t>
  </si>
  <si>
    <t>Болт шкива колен вала</t>
  </si>
  <si>
    <t>Mitsubishi MN 155081</t>
  </si>
  <si>
    <t>Mitsubishi 1100A141</t>
  </si>
  <si>
    <t>Шпонка колен вала</t>
  </si>
  <si>
    <t>Mitsubishi MD 008959</t>
  </si>
  <si>
    <t>Гидро натяжитель ремня ГРМ</t>
  </si>
  <si>
    <t>Mitsubishi MD 341830</t>
  </si>
  <si>
    <t>Hyundai/Kia 24410-39001</t>
  </si>
  <si>
    <t>Ролик направляющий ремня ГРМ</t>
  </si>
  <si>
    <t>Mitsubishi MD 319022</t>
  </si>
  <si>
    <t>PU305729ARR1DW1</t>
  </si>
  <si>
    <t>Ролик ремня ГРМ обводной</t>
  </si>
  <si>
    <t>Mitsubishi MD 140071</t>
  </si>
  <si>
    <t>PU106018FRR1D</t>
  </si>
  <si>
    <t>Ремень ГРМ</t>
  </si>
  <si>
    <t>Mitsubishi MD 307487</t>
  </si>
  <si>
    <t>Contitech CT1080</t>
  </si>
  <si>
    <t xml:space="preserve">Кольцо корпуса маслянного насоса </t>
  </si>
  <si>
    <t>Mitsubishi MD 161631</t>
  </si>
  <si>
    <t>Насос системы охлаждения</t>
  </si>
  <si>
    <t>Mitsubishi MD 979169</t>
  </si>
  <si>
    <t>Впуск:</t>
  </si>
  <si>
    <t>Mitsubishi MD 199282</t>
  </si>
  <si>
    <t>есть</t>
  </si>
  <si>
    <t>Двигатель:</t>
  </si>
  <si>
    <t>Колпачек маслосьемный ВПУСК</t>
  </si>
  <si>
    <t>Mitsubishi MD 184303</t>
  </si>
  <si>
    <t>Колпачек маслосьемный ВЫПУСК</t>
  </si>
  <si>
    <t>Mitsubishi MD 307342</t>
  </si>
  <si>
    <t xml:space="preserve">Сальник распред вала передний </t>
  </si>
  <si>
    <t>Mitsubishi MD 153103</t>
  </si>
  <si>
    <t>MD372536</t>
  </si>
  <si>
    <t>Mitsubishi MN 176208</t>
  </si>
  <si>
    <t>Сальник колен вала передний</t>
  </si>
  <si>
    <t>Mitsubishi MD 372249</t>
  </si>
  <si>
    <t>Прокладка корпуса масл фильтра</t>
  </si>
  <si>
    <t>Mitsubishi MD 302514</t>
  </si>
  <si>
    <t>Кольцо уплотнительное свечного колодца</t>
  </si>
  <si>
    <t>Mitsubishi MD 198128</t>
  </si>
  <si>
    <t xml:space="preserve">Прокладка клапанной крышки </t>
  </si>
  <si>
    <t>Mitsubishi MD 303148</t>
  </si>
  <si>
    <t>70-31414-10</t>
  </si>
  <si>
    <t>Электрика ДВС:</t>
  </si>
  <si>
    <t>Свечи зажигания</t>
  </si>
  <si>
    <t>Ремни навесного:</t>
  </si>
  <si>
    <t>Ремень кондиционера</t>
  </si>
  <si>
    <t>Mitsubishi MB 272651</t>
  </si>
  <si>
    <t>Mitsubishi MD 199223</t>
  </si>
  <si>
    <t>Mitsubishi MD 363022</t>
  </si>
  <si>
    <t>Диск тормозной задний</t>
  </si>
  <si>
    <t>Mitsubishi MB 618797</t>
  </si>
  <si>
    <t>Brembo 08.7106.10</t>
  </si>
  <si>
    <t>Под вопросом:</t>
  </si>
  <si>
    <t xml:space="preserve">Термостат на 82 градуса </t>
  </si>
  <si>
    <t>ТАМА WV64MC-82</t>
  </si>
  <si>
    <t>Прокладка водяного насоса</t>
  </si>
  <si>
    <t>Mitsubishi MD 188352</t>
  </si>
  <si>
    <t>Mitsubishi MR 129720</t>
  </si>
  <si>
    <t>Шланг тормозной передний</t>
  </si>
  <si>
    <t>Цена комплект</t>
  </si>
  <si>
    <t>Шланг тормозной передний верхний</t>
  </si>
  <si>
    <t xml:space="preserve">Mitsubishi MR 129742 </t>
  </si>
  <si>
    <t>Шланг тормозной задний</t>
  </si>
  <si>
    <t xml:space="preserve">Mitsubishi MR 129745 </t>
  </si>
  <si>
    <t xml:space="preserve">Mitsubishi MR 249392 </t>
  </si>
  <si>
    <t>Цена Комплект</t>
  </si>
  <si>
    <t>238р</t>
  </si>
  <si>
    <t>Цена шт.</t>
  </si>
  <si>
    <t>1100р</t>
  </si>
  <si>
    <t>11грн</t>
  </si>
  <si>
    <t>Передние ступицы:</t>
  </si>
  <si>
    <t>Втулка концевая ремонтная стабилизатора передней (диаметр 17мм)</t>
  </si>
  <si>
    <t>Зажим решетки радиатора</t>
  </si>
  <si>
    <t xml:space="preserve">Болт крепления внешних втулок переднего стабилизатора </t>
  </si>
  <si>
    <t>12грн</t>
  </si>
  <si>
    <t>19грн</t>
  </si>
  <si>
    <t xml:space="preserve">Прокладка рычага КПП </t>
  </si>
  <si>
    <t>20р</t>
  </si>
  <si>
    <t>Болт крепления глушителя</t>
  </si>
  <si>
    <t>61грн</t>
  </si>
  <si>
    <t xml:space="preserve">Втулка заднего стабилизатора </t>
  </si>
  <si>
    <t>56грн</t>
  </si>
  <si>
    <t>Масла:</t>
  </si>
  <si>
    <t xml:space="preserve">Mobil 5-W40 </t>
  </si>
  <si>
    <t>Mobil 80-W90</t>
  </si>
  <si>
    <t>Mobil 75-W90</t>
  </si>
  <si>
    <t>3л</t>
  </si>
  <si>
    <t>Mobil 75-W90 LS</t>
  </si>
  <si>
    <t xml:space="preserve">Масло моторное </t>
  </si>
  <si>
    <t>1.5л</t>
  </si>
  <si>
    <t>4,2л</t>
  </si>
  <si>
    <t>0,9л</t>
  </si>
  <si>
    <t>2,3л</t>
  </si>
  <si>
    <t>2,5л</t>
  </si>
  <si>
    <t>Прокладка распред вала задняя</t>
  </si>
  <si>
    <t>Работы:</t>
  </si>
  <si>
    <t xml:space="preserve">Замена масел </t>
  </si>
  <si>
    <t>Устранение течи заднего редуктора</t>
  </si>
  <si>
    <t xml:space="preserve">Герметик Виктор Рейнз - 
для герметизации текущего поддона ДВС. </t>
  </si>
  <si>
    <r>
      <t xml:space="preserve">Комплект монтажный тормозных 
колодок задних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(пружинки)</t>
    </r>
  </si>
  <si>
    <t>Шланг тормозной передний 
(Задний к мосту)</t>
  </si>
  <si>
    <r>
      <t xml:space="preserve">Пластины колодок 
противоскрипные </t>
    </r>
    <r>
      <rPr>
        <b/>
        <sz val="12"/>
        <color theme="1"/>
        <rFont val="Calibri"/>
        <family val="2"/>
        <scheme val="minor"/>
      </rPr>
      <t>П2</t>
    </r>
  </si>
  <si>
    <t>Mitsubishi 1300A012, 
GMB GWM-51A</t>
  </si>
  <si>
    <t>Мытье форсунок</t>
  </si>
  <si>
    <t>Чистка дросельной заслонки</t>
  </si>
  <si>
    <t>Замена газовых фильтров</t>
  </si>
  <si>
    <t>Передняя подвеска:</t>
  </si>
  <si>
    <t>Рычаг передний левый верхний</t>
  </si>
  <si>
    <t>Рычаг передний правый верхний</t>
  </si>
  <si>
    <t>Mitsubishi MR 296094</t>
  </si>
  <si>
    <t>Mitsubishi MR 296093</t>
  </si>
  <si>
    <t>Игольчатый подшипник</t>
  </si>
  <si>
    <t xml:space="preserve">Mitsubishi MB 160670 </t>
  </si>
  <si>
    <t>Втулка крепления ступицы переднего колеса</t>
  </si>
  <si>
    <t>Mitsubishi MB 160671</t>
  </si>
  <si>
    <t>Mitsubishi MB 160850</t>
  </si>
  <si>
    <t>Сальник поворотного кулака</t>
  </si>
  <si>
    <t xml:space="preserve">Hyundai/Kia MB160850 </t>
  </si>
  <si>
    <t>Кольца металлические регулировочные 
ступицы переднего колеса</t>
  </si>
  <si>
    <t xml:space="preserve">Mitsubishi MB 241229 </t>
  </si>
  <si>
    <t xml:space="preserve">Hyundai/Kia MB620994A </t>
  </si>
  <si>
    <t>Диск тормозной передний</t>
  </si>
  <si>
    <t xml:space="preserve">Mitsubishi MB 699716 </t>
  </si>
  <si>
    <t xml:space="preserve">Brembo 09.9132.10 </t>
  </si>
  <si>
    <t>Колодки тормозные дисковые передние</t>
  </si>
  <si>
    <t>Mitsubishi MR 389549</t>
  </si>
  <si>
    <t xml:space="preserve">Brembo </t>
  </si>
  <si>
    <t>Подшипник ступицы колеса переднего</t>
  </si>
  <si>
    <t xml:space="preserve">Mitsubishi MB 092749 </t>
  </si>
  <si>
    <t>Сальник передней ступицы колеса</t>
  </si>
  <si>
    <t xml:space="preserve">Mitsubishi MB 526395 </t>
  </si>
  <si>
    <t>2 или 4?</t>
  </si>
  <si>
    <t>Exist</t>
  </si>
  <si>
    <t>Autopiter</t>
  </si>
  <si>
    <t>Emex</t>
  </si>
  <si>
    <t>Autodoc</t>
  </si>
  <si>
    <t>7(812) 612-44-01</t>
  </si>
  <si>
    <t>7(812) 336-42-32</t>
  </si>
  <si>
    <t>7(921) 914-94-01</t>
  </si>
  <si>
    <t>dctuning.ru</t>
  </si>
  <si>
    <t>м. Московские Ворота, ул. Заставская д.15</t>
  </si>
  <si>
    <t>gutkat.ru</t>
  </si>
  <si>
    <t>выхлоп-спб</t>
  </si>
  <si>
    <t xml:space="preserve">Ул. Воздухоплавательная 13 а, 
Ул. Маршала Говорова, 27 </t>
  </si>
  <si>
    <t>7 (812) 988-32-12,
7 (812) 971-81-07</t>
  </si>
  <si>
    <t>выхлопные системы</t>
  </si>
  <si>
    <t>Перетяжка пленкой кузова</t>
  </si>
  <si>
    <t>в заказе</t>
  </si>
  <si>
    <t>Болт крепления верхнего рычага</t>
  </si>
  <si>
    <t xml:space="preserve">Mitsubishi MR 113953 </t>
  </si>
  <si>
    <t>Гайка тяги</t>
  </si>
  <si>
    <t xml:space="preserve">Mitsubishi MF 430123 </t>
  </si>
  <si>
    <t xml:space="preserve">Koyo BT2012 </t>
  </si>
  <si>
    <r>
      <rPr>
        <b/>
        <sz val="12"/>
        <color theme="1"/>
        <rFont val="Calibri"/>
        <family val="2"/>
        <scheme val="minor"/>
      </rPr>
      <t>Koyo LM102949/10</t>
    </r>
    <r>
      <rPr>
        <sz val="12"/>
        <color theme="1"/>
        <rFont val="Calibri"/>
        <family val="2"/>
        <scheme val="minor"/>
      </rPr>
      <t>, 
Jakoparts J4705005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</si>
</sst>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  <charset val="204"/>
    </font>
    <font>
      <sz val="12"/>
      <color indexed="63"/>
      <name val="Calibri"/>
      <family val="2"/>
      <charset val="204"/>
    </font>
    <font>
      <b/>
      <i/>
      <u/>
      <sz val="12"/>
      <color indexed="8"/>
      <name val="Calibri"/>
      <family val="2"/>
    </font>
    <font>
      <sz val="12"/>
      <name val="Calibri"/>
      <family val="2"/>
    </font>
    <font>
      <b/>
      <i/>
      <u/>
      <sz val="12"/>
      <name val="Calibri"/>
      <family val="2"/>
    </font>
    <font>
      <b/>
      <i/>
      <u/>
      <sz val="12"/>
      <name val="Calibri"/>
      <family val="2"/>
      <charset val="204"/>
    </font>
    <font>
      <sz val="11"/>
      <color indexed="49"/>
      <name val="Calibri"/>
      <family val="2"/>
    </font>
    <font>
      <sz val="12"/>
      <color indexed="49"/>
      <name val="Calibri"/>
      <family val="2"/>
    </font>
    <font>
      <sz val="14"/>
      <color indexed="8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20" fillId="9" borderId="4" applyNumberFormat="0" applyAlignment="0" applyProtection="0"/>
  </cellStyleXfs>
  <cellXfs count="5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0" fontId="6" fillId="4" borderId="0" xfId="0" applyFont="1" applyFill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/>
    <xf numFmtId="0" fontId="9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0" fillId="3" borderId="0" xfId="0" applyFill="1"/>
    <xf numFmtId="0" fontId="10" fillId="0" borderId="0" xfId="0" applyFont="1"/>
    <xf numFmtId="0" fontId="11" fillId="0" borderId="0" xfId="0" applyFont="1" applyAlignment="1">
      <alignment vertical="top"/>
    </xf>
    <xf numFmtId="0" fontId="9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5" borderId="1" xfId="0" applyFont="1" applyFill="1" applyBorder="1" applyAlignment="1">
      <alignment horizontal="left"/>
    </xf>
    <xf numFmtId="0" fontId="14" fillId="0" borderId="0" xfId="1"/>
    <xf numFmtId="0" fontId="15" fillId="6" borderId="2" xfId="2" applyFill="1" applyBorder="1" applyAlignment="1">
      <alignment horizontal="left" vertical="top"/>
    </xf>
    <xf numFmtId="0" fontId="15" fillId="6" borderId="2" xfId="2" applyFill="1" applyBorder="1" applyAlignment="1">
      <alignment vertical="top"/>
    </xf>
    <xf numFmtId="0" fontId="15" fillId="6" borderId="2" xfId="2" applyFill="1" applyBorder="1"/>
    <xf numFmtId="0" fontId="5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7" borderId="3" xfId="3" applyFont="1" applyFill="1"/>
    <xf numFmtId="0" fontId="19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17" fillId="8" borderId="0" xfId="0" applyFont="1" applyFill="1"/>
    <xf numFmtId="0" fontId="16" fillId="8" borderId="0" xfId="0" applyFont="1" applyFill="1" applyAlignment="1">
      <alignment horizontal="left"/>
    </xf>
    <xf numFmtId="0" fontId="17" fillId="8" borderId="0" xfId="0" applyFont="1" applyFill="1" applyAlignment="1">
      <alignment horizontal="left"/>
    </xf>
    <xf numFmtId="0" fontId="16" fillId="8" borderId="0" xfId="0" applyFont="1" applyFill="1"/>
    <xf numFmtId="0" fontId="2" fillId="8" borderId="0" xfId="0" applyFont="1" applyFill="1" applyAlignment="1">
      <alignment vertical="top"/>
    </xf>
    <xf numFmtId="0" fontId="1" fillId="8" borderId="0" xfId="0" applyFont="1" applyFill="1" applyAlignment="1">
      <alignment vertical="top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wrapText="1"/>
    </xf>
    <xf numFmtId="0" fontId="17" fillId="0" borderId="0" xfId="0" applyFont="1" applyFill="1"/>
    <xf numFmtId="0" fontId="17" fillId="0" borderId="0" xfId="0" applyFont="1" applyFill="1" applyAlignment="1">
      <alignment horizontal="left"/>
    </xf>
    <xf numFmtId="0" fontId="19" fillId="0" borderId="0" xfId="0" applyFont="1" applyAlignment="1">
      <alignment horizontal="left" vertical="top"/>
    </xf>
    <xf numFmtId="0" fontId="14" fillId="0" borderId="0" xfId="1" applyAlignment="1">
      <alignment horizontal="left"/>
    </xf>
    <xf numFmtId="0" fontId="0" fillId="0" borderId="0" xfId="0" applyAlignment="1">
      <alignment horizontal="left" wrapText="1"/>
    </xf>
    <xf numFmtId="0" fontId="18" fillId="7" borderId="3" xfId="3" applyFont="1" applyFill="1" applyAlignment="1">
      <alignment horizontal="left" vertical="top"/>
    </xf>
    <xf numFmtId="0" fontId="17" fillId="8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8" fillId="7" borderId="3" xfId="3" applyFont="1" applyFill="1" applyAlignment="1">
      <alignment horizontal="left"/>
    </xf>
    <xf numFmtId="0" fontId="20" fillId="9" borderId="4" xfId="4" applyAlignment="1">
      <alignment horizontal="right"/>
    </xf>
  </cellXfs>
  <cellStyles count="5">
    <cellStyle name="Calculation" xfId="4" builtinId="22"/>
    <cellStyle name="Heading 3" xfId="3" builtinId="18"/>
    <cellStyle name="Heading 4" xfId="2" builtinId="19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dctuning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polyurethan.ru/?ukey=susp&amp;c=MMC201407&amp;vid=6508&amp;ssd=vinid@15666702~vehid@6508~_@ej9OrOl_6-Y!&amp;listall=1&amp;vi=602270" TargetMode="External"/><Relationship Id="rId1" Type="http://schemas.openxmlformats.org/officeDocument/2006/relationships/hyperlink" Target="http://crt.ru/search/recogniz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00" zoomScaleNormal="100" workbookViewId="0">
      <selection activeCell="C124" sqref="C124"/>
    </sheetView>
  </sheetViews>
  <sheetFormatPr defaultColWidth="8.85546875" defaultRowHeight="15.75" x14ac:dyDescent="0.25"/>
  <cols>
    <col min="1" max="1" width="5.85546875" style="1" customWidth="1"/>
    <col min="2" max="2" width="11.42578125" style="5" customWidth="1"/>
    <col min="3" max="3" width="84.7109375" style="11" customWidth="1"/>
    <col min="4" max="4" width="45.42578125" style="8" customWidth="1"/>
    <col min="5" max="5" width="10.140625" style="8" customWidth="1"/>
    <col min="6" max="6" width="33.7109375" style="5" customWidth="1"/>
  </cols>
  <sheetData>
    <row r="1" spans="1:6" s="30" customFormat="1" ht="16.5" thickTop="1" thickBot="1" x14ac:dyDescent="0.3">
      <c r="A1" s="28" t="s">
        <v>0</v>
      </c>
      <c r="B1" s="28" t="s">
        <v>1</v>
      </c>
      <c r="C1" s="29" t="s">
        <v>2</v>
      </c>
      <c r="D1" s="29" t="s">
        <v>3</v>
      </c>
      <c r="E1" s="29" t="s">
        <v>6</v>
      </c>
      <c r="F1" s="28" t="s">
        <v>20</v>
      </c>
    </row>
    <row r="2" spans="1:6" ht="16.5" thickTop="1" x14ac:dyDescent="0.25">
      <c r="A2" s="2"/>
      <c r="B2" s="3">
        <v>138500</v>
      </c>
      <c r="C2" s="10" t="s">
        <v>33</v>
      </c>
      <c r="D2" s="7"/>
      <c r="E2" s="7"/>
      <c r="F2" s="13">
        <v>200000</v>
      </c>
    </row>
    <row r="3" spans="1:6" ht="173.25" x14ac:dyDescent="0.25">
      <c r="A3" s="1">
        <v>0</v>
      </c>
      <c r="B3" s="4">
        <v>144000</v>
      </c>
      <c r="C3" s="11" t="s">
        <v>4</v>
      </c>
      <c r="F3" s="17" t="s">
        <v>41</v>
      </c>
    </row>
    <row r="4" spans="1:6" x14ac:dyDescent="0.25">
      <c r="A4" s="1">
        <v>1</v>
      </c>
      <c r="B4" s="3">
        <v>145000</v>
      </c>
      <c r="C4" s="11" t="s">
        <v>27</v>
      </c>
      <c r="E4" s="8" t="s">
        <v>28</v>
      </c>
    </row>
    <row r="5" spans="1:6" ht="63" x14ac:dyDescent="0.25">
      <c r="A5" s="1">
        <v>2</v>
      </c>
      <c r="B5" s="4">
        <v>146000</v>
      </c>
      <c r="C5" s="11" t="s">
        <v>5</v>
      </c>
      <c r="D5" s="14" t="s">
        <v>47</v>
      </c>
      <c r="E5" s="15" t="s">
        <v>7</v>
      </c>
    </row>
    <row r="6" spans="1:6" x14ac:dyDescent="0.25">
      <c r="B6" s="5">
        <v>146000</v>
      </c>
      <c r="C6" s="11" t="s">
        <v>8</v>
      </c>
      <c r="E6" s="8" t="s">
        <v>9</v>
      </c>
      <c r="F6" s="18" t="s">
        <v>42</v>
      </c>
    </row>
    <row r="7" spans="1:6" x14ac:dyDescent="0.25">
      <c r="B7" s="5">
        <v>146000</v>
      </c>
      <c r="C7" s="11" t="s">
        <v>10</v>
      </c>
      <c r="E7" s="8" t="s">
        <v>11</v>
      </c>
    </row>
    <row r="8" spans="1:6" x14ac:dyDescent="0.25">
      <c r="B8" s="5">
        <v>146000</v>
      </c>
      <c r="C8" s="11" t="s">
        <v>12</v>
      </c>
      <c r="D8" s="8" t="s">
        <v>13</v>
      </c>
      <c r="E8" s="8" t="s">
        <v>14</v>
      </c>
    </row>
    <row r="9" spans="1:6" x14ac:dyDescent="0.25">
      <c r="B9" s="5">
        <v>146000</v>
      </c>
      <c r="C9" s="11" t="s">
        <v>15</v>
      </c>
      <c r="E9" s="8" t="s">
        <v>16</v>
      </c>
    </row>
    <row r="10" spans="1:6" x14ac:dyDescent="0.25">
      <c r="B10" s="5">
        <v>146000</v>
      </c>
      <c r="C10" s="11" t="s">
        <v>17</v>
      </c>
      <c r="E10" s="8" t="s">
        <v>18</v>
      </c>
    </row>
    <row r="11" spans="1:6" x14ac:dyDescent="0.25">
      <c r="B11" s="5">
        <v>146000</v>
      </c>
      <c r="C11" s="11" t="s">
        <v>19</v>
      </c>
      <c r="E11" s="8" t="s">
        <v>9</v>
      </c>
    </row>
    <row r="12" spans="1:6" x14ac:dyDescent="0.25">
      <c r="B12" s="5">
        <v>146000</v>
      </c>
      <c r="C12" s="11" t="s">
        <v>21</v>
      </c>
      <c r="E12" s="8" t="s">
        <v>22</v>
      </c>
    </row>
    <row r="13" spans="1:6" x14ac:dyDescent="0.25">
      <c r="B13" s="5">
        <v>146000</v>
      </c>
      <c r="C13" s="11" t="s">
        <v>23</v>
      </c>
      <c r="E13" s="8" t="s">
        <v>22</v>
      </c>
    </row>
    <row r="14" spans="1:6" x14ac:dyDescent="0.25">
      <c r="A14" s="1">
        <v>3</v>
      </c>
      <c r="B14" s="3">
        <v>147150</v>
      </c>
      <c r="C14" s="11" t="s">
        <v>24</v>
      </c>
      <c r="D14" s="11" t="s">
        <v>26</v>
      </c>
      <c r="E14" s="8" t="s">
        <v>25</v>
      </c>
    </row>
    <row r="15" spans="1:6" x14ac:dyDescent="0.25">
      <c r="B15" s="5">
        <v>147150</v>
      </c>
      <c r="C15" s="11" t="s">
        <v>29</v>
      </c>
      <c r="D15" s="11" t="s">
        <v>30</v>
      </c>
      <c r="E15" s="8" t="s">
        <v>31</v>
      </c>
    </row>
    <row r="16" spans="1:6" x14ac:dyDescent="0.25">
      <c r="B16" s="5">
        <v>147150</v>
      </c>
      <c r="C16" s="11" t="s">
        <v>32</v>
      </c>
    </row>
    <row r="17" spans="1:6" x14ac:dyDescent="0.25">
      <c r="A17" s="1">
        <v>4</v>
      </c>
      <c r="B17" s="3">
        <v>147600</v>
      </c>
      <c r="C17" s="11" t="s">
        <v>37</v>
      </c>
      <c r="E17" s="8" t="s">
        <v>9</v>
      </c>
      <c r="F17" s="19" t="s">
        <v>48</v>
      </c>
    </row>
    <row r="18" spans="1:6" x14ac:dyDescent="0.25">
      <c r="A18" s="1">
        <v>5</v>
      </c>
      <c r="B18" s="3">
        <v>148300</v>
      </c>
      <c r="C18" s="11" t="s">
        <v>352</v>
      </c>
      <c r="E18" s="8" t="s">
        <v>49</v>
      </c>
    </row>
    <row r="19" spans="1:6" x14ac:dyDescent="0.25">
      <c r="B19" s="5">
        <v>148300</v>
      </c>
      <c r="C19" s="11" t="s">
        <v>50</v>
      </c>
    </row>
    <row r="20" spans="1:6" x14ac:dyDescent="0.25">
      <c r="A20" s="1">
        <v>6</v>
      </c>
      <c r="B20" s="3">
        <v>149000</v>
      </c>
      <c r="C20" s="11" t="s">
        <v>44</v>
      </c>
      <c r="D20" s="8" t="s">
        <v>46</v>
      </c>
      <c r="E20" s="8" t="s">
        <v>45</v>
      </c>
    </row>
    <row r="21" spans="1:6" x14ac:dyDescent="0.25">
      <c r="B21" s="5">
        <v>149000</v>
      </c>
      <c r="C21" s="11" t="s">
        <v>51</v>
      </c>
      <c r="E21" s="8" t="s">
        <v>52</v>
      </c>
    </row>
    <row r="22" spans="1:6" x14ac:dyDescent="0.25">
      <c r="A22" s="1">
        <v>7</v>
      </c>
      <c r="B22" s="3">
        <v>150000</v>
      </c>
      <c r="C22" s="11" t="s">
        <v>53</v>
      </c>
      <c r="D22" s="8" t="s">
        <v>63</v>
      </c>
      <c r="E22" s="8" t="s">
        <v>64</v>
      </c>
      <c r="F22" s="16">
        <v>160000</v>
      </c>
    </row>
    <row r="23" spans="1:6" x14ac:dyDescent="0.25">
      <c r="B23" s="5">
        <v>150000</v>
      </c>
      <c r="C23" s="11" t="s">
        <v>54</v>
      </c>
      <c r="D23" s="8" t="s">
        <v>65</v>
      </c>
      <c r="E23" s="8" t="s">
        <v>66</v>
      </c>
      <c r="F23" s="16">
        <v>200000</v>
      </c>
    </row>
    <row r="24" spans="1:6" x14ac:dyDescent="0.25">
      <c r="B24" s="5">
        <v>150000</v>
      </c>
      <c r="C24" s="11" t="s">
        <v>55</v>
      </c>
      <c r="D24" s="8" t="s">
        <v>67</v>
      </c>
      <c r="E24" s="8" t="s">
        <v>52</v>
      </c>
      <c r="F24" s="16">
        <v>200000</v>
      </c>
    </row>
    <row r="25" spans="1:6" x14ac:dyDescent="0.25">
      <c r="B25" s="5">
        <v>150000</v>
      </c>
      <c r="C25" s="11" t="s">
        <v>56</v>
      </c>
      <c r="D25" s="8" t="s">
        <v>68</v>
      </c>
      <c r="E25" s="8" t="s">
        <v>52</v>
      </c>
      <c r="F25" s="16">
        <v>200000</v>
      </c>
    </row>
    <row r="26" spans="1:6" x14ac:dyDescent="0.25">
      <c r="B26" s="5">
        <v>150000</v>
      </c>
      <c r="C26" s="11" t="s">
        <v>57</v>
      </c>
      <c r="E26" s="8" t="s">
        <v>60</v>
      </c>
      <c r="F26" s="16">
        <v>160000</v>
      </c>
    </row>
    <row r="27" spans="1:6" x14ac:dyDescent="0.25">
      <c r="B27" s="5">
        <v>150000</v>
      </c>
      <c r="C27" s="11" t="s">
        <v>58</v>
      </c>
      <c r="E27" s="8" t="s">
        <v>59</v>
      </c>
      <c r="F27" s="16">
        <v>170000</v>
      </c>
    </row>
    <row r="28" spans="1:6" x14ac:dyDescent="0.25">
      <c r="B28" s="5">
        <v>150000</v>
      </c>
      <c r="C28" s="11" t="s">
        <v>61</v>
      </c>
      <c r="E28" s="8" t="s">
        <v>62</v>
      </c>
    </row>
    <row r="29" spans="1:6" x14ac:dyDescent="0.25">
      <c r="B29" s="5">
        <v>150000</v>
      </c>
      <c r="C29" s="11" t="s">
        <v>69</v>
      </c>
      <c r="E29" s="8" t="s">
        <v>28</v>
      </c>
    </row>
    <row r="30" spans="1:6" x14ac:dyDescent="0.25">
      <c r="B30" s="5">
        <v>150000</v>
      </c>
      <c r="C30" s="11" t="s">
        <v>70</v>
      </c>
      <c r="E30" s="8" t="s">
        <v>60</v>
      </c>
    </row>
    <row r="31" spans="1:6" x14ac:dyDescent="0.25">
      <c r="B31" s="5">
        <v>150000</v>
      </c>
      <c r="C31" s="11" t="s">
        <v>72</v>
      </c>
      <c r="E31" s="8" t="s">
        <v>9</v>
      </c>
    </row>
    <row r="32" spans="1:6" x14ac:dyDescent="0.25">
      <c r="B32" s="5">
        <v>150000</v>
      </c>
      <c r="C32" s="11" t="s">
        <v>73</v>
      </c>
      <c r="D32" s="8" t="s">
        <v>75</v>
      </c>
      <c r="E32" s="8" t="s">
        <v>74</v>
      </c>
    </row>
    <row r="33" spans="1:6" x14ac:dyDescent="0.25">
      <c r="A33" s="1">
        <v>8</v>
      </c>
      <c r="B33" s="3">
        <v>150500</v>
      </c>
      <c r="C33" s="11" t="s">
        <v>79</v>
      </c>
      <c r="D33" s="8" t="s">
        <v>78</v>
      </c>
      <c r="E33" s="8" t="s">
        <v>80</v>
      </c>
    </row>
    <row r="34" spans="1:6" x14ac:dyDescent="0.25">
      <c r="B34" s="5">
        <v>150500</v>
      </c>
      <c r="C34" s="11" t="s">
        <v>77</v>
      </c>
      <c r="D34" s="11" t="s">
        <v>76</v>
      </c>
      <c r="E34" s="8" t="s">
        <v>9</v>
      </c>
    </row>
    <row r="35" spans="1:6" x14ac:dyDescent="0.25">
      <c r="B35" s="5">
        <v>150500</v>
      </c>
      <c r="C35" s="11" t="s">
        <v>88</v>
      </c>
      <c r="E35" s="8" t="s">
        <v>89</v>
      </c>
    </row>
    <row r="36" spans="1:6" x14ac:dyDescent="0.25">
      <c r="B36" s="5">
        <v>150500</v>
      </c>
      <c r="C36" s="11" t="s">
        <v>90</v>
      </c>
      <c r="E36" s="8" t="s">
        <v>71</v>
      </c>
    </row>
    <row r="37" spans="1:6" x14ac:dyDescent="0.25">
      <c r="A37" s="1">
        <v>9</v>
      </c>
      <c r="B37" s="3">
        <v>150600</v>
      </c>
      <c r="C37" s="11" t="s">
        <v>91</v>
      </c>
      <c r="D37" s="8" t="s">
        <v>92</v>
      </c>
      <c r="E37" s="8" t="s">
        <v>194</v>
      </c>
    </row>
    <row r="38" spans="1:6" x14ac:dyDescent="0.25">
      <c r="B38" s="5">
        <v>150600</v>
      </c>
      <c r="C38" s="11" t="s">
        <v>93</v>
      </c>
      <c r="E38" s="8" t="s">
        <v>94</v>
      </c>
    </row>
    <row r="39" spans="1:6" x14ac:dyDescent="0.25">
      <c r="A39" s="1">
        <v>10</v>
      </c>
      <c r="B39" s="3">
        <v>153000</v>
      </c>
      <c r="C39" s="11" t="s">
        <v>99</v>
      </c>
      <c r="D39" s="8" t="s">
        <v>96</v>
      </c>
      <c r="E39" s="8" t="s">
        <v>95</v>
      </c>
      <c r="F39" s="16">
        <v>190000</v>
      </c>
    </row>
    <row r="40" spans="1:6" x14ac:dyDescent="0.25">
      <c r="B40" s="5">
        <v>153000</v>
      </c>
      <c r="C40" s="11" t="s">
        <v>97</v>
      </c>
      <c r="D40" s="8" t="s">
        <v>102</v>
      </c>
      <c r="E40" s="8" t="s">
        <v>98</v>
      </c>
    </row>
    <row r="41" spans="1:6" x14ac:dyDescent="0.25">
      <c r="B41" s="5">
        <v>153000</v>
      </c>
      <c r="C41" s="11" t="s">
        <v>100</v>
      </c>
      <c r="D41" s="8" t="s">
        <v>101</v>
      </c>
      <c r="F41" s="16">
        <v>160000</v>
      </c>
    </row>
    <row r="42" spans="1:6" x14ac:dyDescent="0.25">
      <c r="A42" s="1">
        <v>11</v>
      </c>
      <c r="B42" s="3">
        <v>155000</v>
      </c>
      <c r="C42" s="11" t="s">
        <v>103</v>
      </c>
      <c r="D42" s="8" t="s">
        <v>105</v>
      </c>
      <c r="E42" s="8" t="s">
        <v>104</v>
      </c>
      <c r="F42" s="16">
        <v>200000</v>
      </c>
    </row>
    <row r="43" spans="1:6" x14ac:dyDescent="0.25">
      <c r="B43" s="5">
        <v>155000</v>
      </c>
      <c r="C43" s="11" t="s">
        <v>107</v>
      </c>
      <c r="E43" s="8" t="s">
        <v>106</v>
      </c>
    </row>
    <row r="44" spans="1:6" x14ac:dyDescent="0.25">
      <c r="A44" s="1">
        <v>12</v>
      </c>
      <c r="B44" s="3">
        <v>156000</v>
      </c>
      <c r="C44" s="11" t="s">
        <v>109</v>
      </c>
      <c r="F44" s="16">
        <v>160000</v>
      </c>
    </row>
    <row r="45" spans="1:6" x14ac:dyDescent="0.25">
      <c r="B45" s="5">
        <v>156000</v>
      </c>
      <c r="C45" s="11" t="s">
        <v>110</v>
      </c>
      <c r="E45" s="8" t="s">
        <v>18</v>
      </c>
    </row>
    <row r="46" spans="1:6" x14ac:dyDescent="0.25">
      <c r="A46" s="1">
        <v>13</v>
      </c>
      <c r="B46" s="3">
        <v>157000</v>
      </c>
      <c r="C46" s="11" t="s">
        <v>119</v>
      </c>
      <c r="D46" s="8" t="s">
        <v>118</v>
      </c>
      <c r="E46" s="8" t="s">
        <v>117</v>
      </c>
      <c r="F46" s="16">
        <v>237000</v>
      </c>
    </row>
    <row r="47" spans="1:6" x14ac:dyDescent="0.25">
      <c r="B47" s="5">
        <v>157000</v>
      </c>
      <c r="C47" s="11" t="s">
        <v>111</v>
      </c>
      <c r="D47" s="8" t="s">
        <v>115</v>
      </c>
      <c r="E47" s="8" t="s">
        <v>112</v>
      </c>
    </row>
    <row r="48" spans="1:6" x14ac:dyDescent="0.25">
      <c r="B48" s="5">
        <v>157000</v>
      </c>
      <c r="C48" s="11" t="s">
        <v>114</v>
      </c>
      <c r="D48" s="8" t="s">
        <v>116</v>
      </c>
      <c r="E48" s="8" t="s">
        <v>113</v>
      </c>
    </row>
    <row r="49" spans="1:6" x14ac:dyDescent="0.25">
      <c r="A49" s="1">
        <v>14</v>
      </c>
      <c r="B49" s="3">
        <v>158400</v>
      </c>
      <c r="C49" s="11" t="s">
        <v>37</v>
      </c>
      <c r="E49" s="8" t="s">
        <v>106</v>
      </c>
    </row>
    <row r="50" spans="1:6" x14ac:dyDescent="0.25">
      <c r="B50" s="5">
        <v>158400</v>
      </c>
      <c r="C50" s="11" t="s">
        <v>124</v>
      </c>
      <c r="D50" s="11" t="s">
        <v>125</v>
      </c>
      <c r="E50" s="11" t="s">
        <v>126</v>
      </c>
    </row>
    <row r="51" spans="1:6" x14ac:dyDescent="0.25">
      <c r="A51" s="1">
        <v>15</v>
      </c>
      <c r="B51" s="3">
        <v>160000</v>
      </c>
      <c r="C51" s="11" t="s">
        <v>168</v>
      </c>
      <c r="D51" s="11" t="s">
        <v>122</v>
      </c>
      <c r="E51" s="11" t="s">
        <v>123</v>
      </c>
    </row>
    <row r="52" spans="1:6" x14ac:dyDescent="0.25">
      <c r="B52" s="5">
        <v>160000</v>
      </c>
      <c r="C52" s="11" t="s">
        <v>169</v>
      </c>
      <c r="D52" s="8" t="s">
        <v>120</v>
      </c>
      <c r="E52" s="8" t="s">
        <v>121</v>
      </c>
    </row>
    <row r="53" spans="1:6" x14ac:dyDescent="0.25">
      <c r="B53" s="5">
        <v>160000</v>
      </c>
      <c r="C53" s="11" t="s">
        <v>255</v>
      </c>
      <c r="D53" s="8" t="s">
        <v>86</v>
      </c>
      <c r="E53" s="8" t="s">
        <v>87</v>
      </c>
    </row>
    <row r="54" spans="1:6" x14ac:dyDescent="0.25">
      <c r="B54" s="5">
        <v>160000</v>
      </c>
      <c r="C54" s="11" t="s">
        <v>170</v>
      </c>
      <c r="D54" s="8" t="s">
        <v>130</v>
      </c>
      <c r="E54" s="8" t="s">
        <v>131</v>
      </c>
      <c r="F54" s="16">
        <v>170000</v>
      </c>
    </row>
    <row r="55" spans="1:6" x14ac:dyDescent="0.25">
      <c r="B55" s="5">
        <v>160000</v>
      </c>
      <c r="C55" s="11" t="s">
        <v>171</v>
      </c>
      <c r="D55" s="8" t="s">
        <v>63</v>
      </c>
      <c r="E55" s="8" t="s">
        <v>64</v>
      </c>
      <c r="F55" s="16">
        <v>170000</v>
      </c>
    </row>
    <row r="56" spans="1:6" x14ac:dyDescent="0.25">
      <c r="B56" s="5">
        <v>160000</v>
      </c>
      <c r="C56" s="11" t="s">
        <v>132</v>
      </c>
      <c r="D56" s="8" t="s">
        <v>133</v>
      </c>
      <c r="E56" s="8" t="s">
        <v>89</v>
      </c>
    </row>
    <row r="57" spans="1:6" x14ac:dyDescent="0.25">
      <c r="B57" s="5">
        <v>160000</v>
      </c>
      <c r="C57" s="11" t="s">
        <v>213</v>
      </c>
      <c r="D57" s="8" t="s">
        <v>172</v>
      </c>
    </row>
    <row r="58" spans="1:6" x14ac:dyDescent="0.25">
      <c r="B58" s="5">
        <v>160000</v>
      </c>
      <c r="C58" s="11" t="s">
        <v>173</v>
      </c>
      <c r="F58" s="16">
        <v>170000</v>
      </c>
    </row>
    <row r="59" spans="1:6" x14ac:dyDescent="0.25">
      <c r="B59" s="5">
        <v>160000</v>
      </c>
      <c r="C59" s="11" t="s">
        <v>175</v>
      </c>
      <c r="E59" s="8" t="s">
        <v>174</v>
      </c>
    </row>
    <row r="60" spans="1:6" x14ac:dyDescent="0.25">
      <c r="B60" s="5">
        <v>160000</v>
      </c>
      <c r="C60" s="11" t="s">
        <v>178</v>
      </c>
      <c r="D60" s="8" t="s">
        <v>176</v>
      </c>
      <c r="E60" s="8" t="s">
        <v>177</v>
      </c>
    </row>
    <row r="61" spans="1:6" x14ac:dyDescent="0.25">
      <c r="A61" s="1">
        <v>16</v>
      </c>
      <c r="B61" s="3">
        <v>161000</v>
      </c>
      <c r="C61" s="11" t="s">
        <v>362</v>
      </c>
      <c r="D61" s="8" t="s">
        <v>182</v>
      </c>
      <c r="E61" s="8" t="s">
        <v>181</v>
      </c>
    </row>
    <row r="62" spans="1:6" x14ac:dyDescent="0.25">
      <c r="B62" s="5">
        <v>161000</v>
      </c>
      <c r="C62" s="11" t="s">
        <v>183</v>
      </c>
      <c r="D62" s="8" t="s">
        <v>179</v>
      </c>
      <c r="E62" s="8" t="s">
        <v>180</v>
      </c>
    </row>
    <row r="63" spans="1:6" x14ac:dyDescent="0.25">
      <c r="B63" s="5">
        <v>161000</v>
      </c>
      <c r="C63" s="11" t="s">
        <v>100</v>
      </c>
      <c r="D63" s="8" t="s">
        <v>101</v>
      </c>
      <c r="F63" s="16">
        <v>170000</v>
      </c>
    </row>
    <row r="64" spans="1:6" x14ac:dyDescent="0.25">
      <c r="A64" s="1">
        <v>17</v>
      </c>
      <c r="B64" s="3">
        <v>164000</v>
      </c>
      <c r="C64" s="11" t="s">
        <v>186</v>
      </c>
      <c r="D64" s="8" t="s">
        <v>184</v>
      </c>
      <c r="E64" s="8" t="s">
        <v>185</v>
      </c>
    </row>
    <row r="65" spans="1:6" ht="31.5" x14ac:dyDescent="0.25">
      <c r="A65" s="1">
        <v>18</v>
      </c>
      <c r="B65" s="3">
        <v>165000</v>
      </c>
      <c r="C65" s="11" t="s">
        <v>187</v>
      </c>
      <c r="D65" s="14" t="s">
        <v>189</v>
      </c>
      <c r="E65" s="8" t="s">
        <v>188</v>
      </c>
      <c r="F65" s="23" t="s">
        <v>190</v>
      </c>
    </row>
    <row r="66" spans="1:6" x14ac:dyDescent="0.25">
      <c r="B66" s="5">
        <v>165000</v>
      </c>
      <c r="C66" s="11" t="s">
        <v>191</v>
      </c>
      <c r="F66" s="16">
        <v>175000</v>
      </c>
    </row>
    <row r="67" spans="1:6" x14ac:dyDescent="0.25">
      <c r="A67" s="1">
        <v>19</v>
      </c>
      <c r="B67" s="3">
        <v>168500</v>
      </c>
      <c r="C67" s="8" t="s">
        <v>192</v>
      </c>
      <c r="D67" s="8" t="s">
        <v>92</v>
      </c>
      <c r="E67" s="8" t="s">
        <v>193</v>
      </c>
    </row>
    <row r="68" spans="1:6" x14ac:dyDescent="0.25">
      <c r="A68" s="1">
        <v>20</v>
      </c>
      <c r="B68" s="3">
        <v>169200</v>
      </c>
      <c r="C68" s="11" t="s">
        <v>198</v>
      </c>
      <c r="E68" s="8" t="s">
        <v>199</v>
      </c>
    </row>
    <row r="69" spans="1:6" x14ac:dyDescent="0.25">
      <c r="A69" s="1">
        <v>21</v>
      </c>
      <c r="B69" s="3">
        <v>169500</v>
      </c>
      <c r="C69" s="11" t="s">
        <v>200</v>
      </c>
      <c r="D69" s="8" t="s">
        <v>205</v>
      </c>
      <c r="E69" s="8" t="s">
        <v>199</v>
      </c>
    </row>
    <row r="70" spans="1:6" x14ac:dyDescent="0.25">
      <c r="B70" s="5">
        <v>169500</v>
      </c>
      <c r="C70" s="11" t="s">
        <v>201</v>
      </c>
      <c r="D70" s="8" t="s">
        <v>205</v>
      </c>
      <c r="E70" s="8" t="s">
        <v>204</v>
      </c>
    </row>
    <row r="71" spans="1:6" x14ac:dyDescent="0.25">
      <c r="B71" s="5">
        <v>169500</v>
      </c>
      <c r="C71" s="11" t="s">
        <v>208</v>
      </c>
      <c r="D71" s="8" t="s">
        <v>207</v>
      </c>
      <c r="E71" s="8" t="s">
        <v>209</v>
      </c>
    </row>
    <row r="72" spans="1:6" x14ac:dyDescent="0.25">
      <c r="A72" s="1">
        <v>22</v>
      </c>
      <c r="B72" s="3">
        <v>170000</v>
      </c>
      <c r="C72" s="11" t="s">
        <v>170</v>
      </c>
      <c r="D72" s="8" t="s">
        <v>196</v>
      </c>
      <c r="E72" s="8" t="s">
        <v>197</v>
      </c>
      <c r="F72" s="16">
        <v>180000</v>
      </c>
    </row>
    <row r="73" spans="1:6" x14ac:dyDescent="0.25">
      <c r="B73" s="5">
        <v>170000</v>
      </c>
      <c r="C73" s="11" t="s">
        <v>212</v>
      </c>
      <c r="D73" s="8" t="s">
        <v>63</v>
      </c>
      <c r="E73" s="8" t="s">
        <v>195</v>
      </c>
      <c r="F73" s="16">
        <v>180000</v>
      </c>
    </row>
    <row r="74" spans="1:6" x14ac:dyDescent="0.25">
      <c r="B74" s="5">
        <v>170000</v>
      </c>
      <c r="C74" s="11" t="s">
        <v>109</v>
      </c>
      <c r="F74" s="16">
        <v>180000</v>
      </c>
    </row>
    <row r="75" spans="1:6" x14ac:dyDescent="0.25">
      <c r="A75" s="1">
        <v>23</v>
      </c>
      <c r="B75" s="3">
        <v>170500</v>
      </c>
      <c r="C75" s="11" t="s">
        <v>24</v>
      </c>
      <c r="D75" s="8" t="s">
        <v>250</v>
      </c>
      <c r="E75" s="8" t="s">
        <v>251</v>
      </c>
    </row>
    <row r="76" spans="1:6" x14ac:dyDescent="0.25">
      <c r="B76" s="5">
        <v>170500</v>
      </c>
      <c r="C76" s="11" t="s">
        <v>77</v>
      </c>
      <c r="D76" s="11" t="s">
        <v>76</v>
      </c>
      <c r="E76" s="8" t="s">
        <v>245</v>
      </c>
    </row>
    <row r="77" spans="1:6" x14ac:dyDescent="0.25">
      <c r="B77" s="5">
        <v>170500</v>
      </c>
      <c r="C77" s="11" t="s">
        <v>246</v>
      </c>
      <c r="E77" s="8" t="s">
        <v>247</v>
      </c>
    </row>
    <row r="78" spans="1:6" x14ac:dyDescent="0.25">
      <c r="B78" s="5">
        <v>170500</v>
      </c>
      <c r="C78" s="11" t="s">
        <v>254</v>
      </c>
      <c r="D78" s="8" t="s">
        <v>252</v>
      </c>
      <c r="E78" s="8" t="s">
        <v>253</v>
      </c>
    </row>
    <row r="79" spans="1:6" x14ac:dyDescent="0.25">
      <c r="B79" s="5">
        <v>170500</v>
      </c>
      <c r="C79" s="11" t="s">
        <v>259</v>
      </c>
      <c r="E79" s="8" t="s">
        <v>260</v>
      </c>
      <c r="F79" s="16">
        <v>180000</v>
      </c>
    </row>
    <row r="80" spans="1:6" x14ac:dyDescent="0.25">
      <c r="B80" s="5">
        <v>170500</v>
      </c>
      <c r="C80" s="11" t="s">
        <v>210</v>
      </c>
      <c r="E80" s="8" t="s">
        <v>211</v>
      </c>
      <c r="F80" s="16">
        <v>180000</v>
      </c>
    </row>
    <row r="81" spans="1:6" x14ac:dyDescent="0.25">
      <c r="A81" s="1">
        <v>24</v>
      </c>
      <c r="B81" s="3">
        <v>171000</v>
      </c>
      <c r="C81" s="11" t="s">
        <v>261</v>
      </c>
      <c r="E81" s="8" t="s">
        <v>203</v>
      </c>
    </row>
    <row r="82" spans="1:6" x14ac:dyDescent="0.25">
      <c r="A82" s="1">
        <v>25</v>
      </c>
      <c r="B82" s="3">
        <v>172500</v>
      </c>
      <c r="C82" s="11" t="s">
        <v>271</v>
      </c>
      <c r="D82" s="8" t="s">
        <v>272</v>
      </c>
      <c r="E82" s="8" t="s">
        <v>273</v>
      </c>
    </row>
    <row r="83" spans="1:6" x14ac:dyDescent="0.25">
      <c r="B83" s="5">
        <v>172500</v>
      </c>
      <c r="C83" s="11" t="s">
        <v>274</v>
      </c>
      <c r="E83" s="8" t="s">
        <v>204</v>
      </c>
    </row>
    <row r="84" spans="1:6" x14ac:dyDescent="0.25">
      <c r="A84" s="1">
        <v>26</v>
      </c>
      <c r="B84" s="3">
        <v>173000</v>
      </c>
      <c r="C84" s="11" t="s">
        <v>277</v>
      </c>
      <c r="E84" s="8" t="s">
        <v>278</v>
      </c>
    </row>
    <row r="85" spans="1:6" x14ac:dyDescent="0.25">
      <c r="A85" s="1">
        <v>27</v>
      </c>
      <c r="B85" s="3">
        <v>174000</v>
      </c>
      <c r="C85" s="11" t="s">
        <v>281</v>
      </c>
      <c r="D85" s="8" t="s">
        <v>279</v>
      </c>
      <c r="E85" s="8" t="s">
        <v>280</v>
      </c>
    </row>
    <row r="86" spans="1:6" x14ac:dyDescent="0.25">
      <c r="A86" s="1">
        <v>28</v>
      </c>
      <c r="B86" s="3">
        <v>175000</v>
      </c>
      <c r="C86" s="11" t="s">
        <v>282</v>
      </c>
      <c r="D86" s="8" t="s">
        <v>283</v>
      </c>
      <c r="E86" s="8" t="s">
        <v>284</v>
      </c>
    </row>
    <row r="87" spans="1:6" x14ac:dyDescent="0.25">
      <c r="B87" s="5">
        <v>175000</v>
      </c>
      <c r="C87" s="11" t="s">
        <v>285</v>
      </c>
      <c r="E87" s="8" t="s">
        <v>278</v>
      </c>
    </row>
    <row r="88" spans="1:6" x14ac:dyDescent="0.25">
      <c r="B88" s="5">
        <v>175000</v>
      </c>
      <c r="C88" s="11" t="s">
        <v>289</v>
      </c>
    </row>
    <row r="89" spans="1:6" x14ac:dyDescent="0.25">
      <c r="B89" s="5">
        <v>175000</v>
      </c>
      <c r="C89" s="11" t="s">
        <v>202</v>
      </c>
      <c r="E89" s="8" t="s">
        <v>203</v>
      </c>
    </row>
    <row r="90" spans="1:6" x14ac:dyDescent="0.25">
      <c r="B90" s="5">
        <v>175000</v>
      </c>
      <c r="C90" s="11" t="s">
        <v>259</v>
      </c>
      <c r="E90" s="8" t="s">
        <v>260</v>
      </c>
      <c r="F90" s="16">
        <v>1850000</v>
      </c>
    </row>
    <row r="91" spans="1:6" x14ac:dyDescent="0.25">
      <c r="A91" s="1">
        <v>29</v>
      </c>
      <c r="B91" s="3">
        <v>176000</v>
      </c>
      <c r="C91" t="s">
        <v>286</v>
      </c>
      <c r="D91" s="8" t="s">
        <v>287</v>
      </c>
      <c r="E91" s="8" t="s">
        <v>288</v>
      </c>
    </row>
    <row r="92" spans="1:6" x14ac:dyDescent="0.25">
      <c r="A92" s="1">
        <v>30</v>
      </c>
      <c r="B92" s="3">
        <v>179700</v>
      </c>
      <c r="C92" s="11" t="s">
        <v>321</v>
      </c>
      <c r="E92" s="8" t="s">
        <v>204</v>
      </c>
    </row>
    <row r="93" spans="1:6" x14ac:dyDescent="0.25">
      <c r="A93" s="1">
        <v>31</v>
      </c>
      <c r="B93" s="3">
        <v>180000</v>
      </c>
      <c r="C93" s="11" t="s">
        <v>305</v>
      </c>
      <c r="D93" s="8" t="s">
        <v>196</v>
      </c>
      <c r="E93" s="8" t="s">
        <v>306</v>
      </c>
      <c r="F93" s="16">
        <v>190000</v>
      </c>
    </row>
    <row r="94" spans="1:6" x14ac:dyDescent="0.25">
      <c r="B94" s="5">
        <v>180000</v>
      </c>
      <c r="C94" s="11" t="s">
        <v>310</v>
      </c>
      <c r="D94" s="8" t="s">
        <v>311</v>
      </c>
      <c r="E94" s="8" t="s">
        <v>307</v>
      </c>
    </row>
    <row r="95" spans="1:6" x14ac:dyDescent="0.25">
      <c r="B95" s="5">
        <v>180000</v>
      </c>
      <c r="C95" s="11" t="s">
        <v>308</v>
      </c>
      <c r="D95" s="8" t="s">
        <v>63</v>
      </c>
      <c r="E95" s="8" t="s">
        <v>195</v>
      </c>
      <c r="F95" s="16">
        <v>190000</v>
      </c>
    </row>
    <row r="96" spans="1:6" x14ac:dyDescent="0.25">
      <c r="B96" s="5">
        <v>180000</v>
      </c>
      <c r="C96" s="11" t="s">
        <v>309</v>
      </c>
      <c r="D96" s="8" t="s">
        <v>312</v>
      </c>
      <c r="E96" s="8" t="s">
        <v>203</v>
      </c>
      <c r="F96" s="16">
        <v>190000</v>
      </c>
    </row>
    <row r="97" spans="1:6" x14ac:dyDescent="0.25">
      <c r="B97" s="5">
        <v>180000</v>
      </c>
      <c r="C97" s="11" t="s">
        <v>313</v>
      </c>
      <c r="D97" s="8" t="s">
        <v>314</v>
      </c>
      <c r="E97" s="8" t="s">
        <v>315</v>
      </c>
    </row>
    <row r="98" spans="1:6" x14ac:dyDescent="0.25">
      <c r="B98" s="5">
        <v>180000</v>
      </c>
      <c r="C98" s="11" t="s">
        <v>322</v>
      </c>
      <c r="E98" s="8" t="s">
        <v>323</v>
      </c>
    </row>
    <row r="99" spans="1:6" x14ac:dyDescent="0.25">
      <c r="B99" s="5">
        <v>180000</v>
      </c>
      <c r="C99" s="11" t="s">
        <v>298</v>
      </c>
      <c r="D99" s="8" t="s">
        <v>299</v>
      </c>
      <c r="E99" s="8" t="s">
        <v>300</v>
      </c>
      <c r="F99" s="16">
        <v>190000</v>
      </c>
    </row>
    <row r="100" spans="1:6" x14ac:dyDescent="0.25">
      <c r="B100" s="5">
        <v>180000</v>
      </c>
      <c r="C100" s="11" t="s">
        <v>79</v>
      </c>
      <c r="D100" s="8" t="s">
        <v>301</v>
      </c>
      <c r="E100" s="8" t="s">
        <v>302</v>
      </c>
      <c r="F100" s="16">
        <v>200000</v>
      </c>
    </row>
    <row r="101" spans="1:6" x14ac:dyDescent="0.25">
      <c r="A101" s="1">
        <v>32</v>
      </c>
      <c r="B101" s="3">
        <v>186500</v>
      </c>
      <c r="C101" s="11" t="s">
        <v>333</v>
      </c>
      <c r="D101" s="8" t="s">
        <v>275</v>
      </c>
      <c r="E101" s="8" t="s">
        <v>276</v>
      </c>
    </row>
    <row r="102" spans="1:6" x14ac:dyDescent="0.25">
      <c r="B102" s="5">
        <v>186500</v>
      </c>
      <c r="C102" s="12" t="s">
        <v>334</v>
      </c>
      <c r="D102" s="8" t="s">
        <v>326</v>
      </c>
      <c r="E102" s="8" t="s">
        <v>327</v>
      </c>
    </row>
    <row r="103" spans="1:6" x14ac:dyDescent="0.25">
      <c r="B103" s="5">
        <v>186500</v>
      </c>
      <c r="C103" s="12" t="s">
        <v>338</v>
      </c>
      <c r="D103" s="8" t="s">
        <v>331</v>
      </c>
      <c r="E103" s="8" t="s">
        <v>332</v>
      </c>
    </row>
    <row r="104" spans="1:6" x14ac:dyDescent="0.25">
      <c r="B104" s="5">
        <v>186500</v>
      </c>
      <c r="C104" s="11" t="s">
        <v>341</v>
      </c>
      <c r="D104" s="8" t="s">
        <v>339</v>
      </c>
      <c r="E104" s="8" t="s">
        <v>340</v>
      </c>
    </row>
    <row r="105" spans="1:6" x14ac:dyDescent="0.25">
      <c r="B105" s="5">
        <v>186500</v>
      </c>
      <c r="C105" s="11" t="s">
        <v>343</v>
      </c>
      <c r="D105" s="8" t="s">
        <v>342</v>
      </c>
      <c r="E105" s="8" t="s">
        <v>344</v>
      </c>
    </row>
    <row r="106" spans="1:6" x14ac:dyDescent="0.25">
      <c r="B106" s="5">
        <v>186500</v>
      </c>
      <c r="C106" s="11" t="s">
        <v>345</v>
      </c>
    </row>
    <row r="107" spans="1:6" x14ac:dyDescent="0.25">
      <c r="B107" s="5">
        <v>186500</v>
      </c>
      <c r="C107" s="11" t="s">
        <v>351</v>
      </c>
      <c r="D107" s="8" t="s">
        <v>349</v>
      </c>
      <c r="E107" s="8" t="s">
        <v>350</v>
      </c>
    </row>
    <row r="108" spans="1:6" x14ac:dyDescent="0.25">
      <c r="B108" s="5">
        <v>186500</v>
      </c>
      <c r="C108" s="11" t="s">
        <v>346</v>
      </c>
      <c r="F108" s="16">
        <v>200000</v>
      </c>
    </row>
    <row r="109" spans="1:6" x14ac:dyDescent="0.25">
      <c r="B109" s="5">
        <v>186500</v>
      </c>
      <c r="C109" s="11" t="s">
        <v>347</v>
      </c>
      <c r="E109" s="8" t="s">
        <v>348</v>
      </c>
    </row>
    <row r="110" spans="1:6" x14ac:dyDescent="0.25">
      <c r="B110" s="5">
        <v>186500</v>
      </c>
      <c r="C110" s="11" t="s">
        <v>259</v>
      </c>
      <c r="E110" s="8" t="s">
        <v>260</v>
      </c>
      <c r="F110" s="16">
        <v>195000</v>
      </c>
    </row>
    <row r="111" spans="1:6" x14ac:dyDescent="0.25">
      <c r="B111" s="5">
        <v>186500</v>
      </c>
      <c r="C111" s="11" t="s">
        <v>37</v>
      </c>
      <c r="E111" s="8" t="s">
        <v>204</v>
      </c>
    </row>
    <row r="112" spans="1:6" x14ac:dyDescent="0.25">
      <c r="A112" s="1">
        <v>33</v>
      </c>
      <c r="B112" s="3">
        <v>189000</v>
      </c>
      <c r="C112" s="11" t="s">
        <v>352</v>
      </c>
      <c r="E112" s="8" t="s">
        <v>353</v>
      </c>
    </row>
    <row r="113" spans="1:6" x14ac:dyDescent="0.25">
      <c r="B113" s="5">
        <v>189000</v>
      </c>
      <c r="C113" s="11" t="s">
        <v>355</v>
      </c>
      <c r="F113" s="16">
        <v>210000</v>
      </c>
    </row>
    <row r="114" spans="1:6" x14ac:dyDescent="0.25">
      <c r="A114" s="1">
        <v>34</v>
      </c>
      <c r="B114" s="3">
        <v>190000</v>
      </c>
      <c r="C114" s="11" t="s">
        <v>366</v>
      </c>
      <c r="D114" s="8" t="s">
        <v>367</v>
      </c>
      <c r="E114" s="8" t="s">
        <v>368</v>
      </c>
      <c r="F114" s="5" t="s">
        <v>374</v>
      </c>
    </row>
    <row r="115" spans="1:6" x14ac:dyDescent="0.25">
      <c r="B115" s="5">
        <v>190000</v>
      </c>
      <c r="C115" s="11" t="s">
        <v>370</v>
      </c>
      <c r="D115" s="8" t="s">
        <v>369</v>
      </c>
      <c r="E115" s="8" t="s">
        <v>371</v>
      </c>
    </row>
    <row r="116" spans="1:6" x14ac:dyDescent="0.25">
      <c r="B116" s="5">
        <v>190000</v>
      </c>
      <c r="C116" s="11" t="s">
        <v>372</v>
      </c>
      <c r="D116" s="8" t="s">
        <v>367</v>
      </c>
      <c r="E116" s="8" t="s">
        <v>199</v>
      </c>
    </row>
    <row r="117" spans="1:6" x14ac:dyDescent="0.25">
      <c r="B117" s="5">
        <v>190000</v>
      </c>
      <c r="C117" s="11" t="s">
        <v>308</v>
      </c>
      <c r="D117" s="8" t="s">
        <v>63</v>
      </c>
      <c r="E117" s="8" t="s">
        <v>375</v>
      </c>
      <c r="F117" s="16">
        <v>200000</v>
      </c>
    </row>
    <row r="118" spans="1:6" x14ac:dyDescent="0.25">
      <c r="B118" s="5">
        <v>190000</v>
      </c>
      <c r="C118" s="12" t="s">
        <v>363</v>
      </c>
      <c r="D118" s="8" t="s">
        <v>364</v>
      </c>
      <c r="E118" s="8" t="s">
        <v>365</v>
      </c>
      <c r="F118" s="16">
        <v>200000</v>
      </c>
    </row>
    <row r="119" spans="1:6" x14ac:dyDescent="0.25">
      <c r="B119" s="5">
        <v>190000</v>
      </c>
      <c r="C119" s="11" t="s">
        <v>356</v>
      </c>
      <c r="D119" s="8" t="s">
        <v>357</v>
      </c>
      <c r="E119" s="8" t="s">
        <v>358</v>
      </c>
      <c r="F119" s="5" t="s">
        <v>381</v>
      </c>
    </row>
    <row r="120" spans="1:6" x14ac:dyDescent="0.25">
      <c r="B120" s="5">
        <v>190000</v>
      </c>
      <c r="C120" s="11" t="s">
        <v>359</v>
      </c>
      <c r="D120" s="8" t="s">
        <v>360</v>
      </c>
      <c r="E120" s="8" t="s">
        <v>361</v>
      </c>
      <c r="F120" s="5" t="s">
        <v>382</v>
      </c>
    </row>
    <row r="121" spans="1:6" x14ac:dyDescent="0.25">
      <c r="B121" s="5">
        <v>190000</v>
      </c>
      <c r="C121" s="11" t="s">
        <v>376</v>
      </c>
      <c r="D121" s="8" t="s">
        <v>380</v>
      </c>
      <c r="E121" s="8" t="s">
        <v>195</v>
      </c>
    </row>
    <row r="122" spans="1:6" x14ac:dyDescent="0.25">
      <c r="B122" s="5">
        <v>190000</v>
      </c>
      <c r="C122" s="11" t="s">
        <v>377</v>
      </c>
      <c r="D122" s="8" t="s">
        <v>380</v>
      </c>
      <c r="E122" s="8" t="s">
        <v>378</v>
      </c>
    </row>
    <row r="123" spans="1:6" x14ac:dyDescent="0.25">
      <c r="B123" s="5">
        <v>190000</v>
      </c>
      <c r="C123" s="11" t="s">
        <v>379</v>
      </c>
      <c r="D123" s="8" t="s">
        <v>380</v>
      </c>
      <c r="E123" s="8" t="s">
        <v>199</v>
      </c>
    </row>
    <row r="124" spans="1:6" x14ac:dyDescent="0.25">
      <c r="B124" s="5">
        <v>190000</v>
      </c>
      <c r="C124" s="11" t="s">
        <v>37</v>
      </c>
      <c r="D124" s="8" t="s">
        <v>402</v>
      </c>
      <c r="E124" s="8" t="s">
        <v>397</v>
      </c>
    </row>
    <row r="125" spans="1:6" x14ac:dyDescent="0.25">
      <c r="B125" s="5">
        <v>190000</v>
      </c>
      <c r="C125" s="11" t="s">
        <v>295</v>
      </c>
      <c r="D125" s="8" t="s">
        <v>293</v>
      </c>
      <c r="E125" s="8" t="s">
        <v>294</v>
      </c>
    </row>
    <row r="126" spans="1:6" x14ac:dyDescent="0.25">
      <c r="B126" s="5">
        <v>190000</v>
      </c>
      <c r="C126" s="12" t="s">
        <v>254</v>
      </c>
      <c r="D126" s="8" t="s">
        <v>412</v>
      </c>
      <c r="E126" s="8" t="s">
        <v>413</v>
      </c>
    </row>
    <row r="127" spans="1:6" x14ac:dyDescent="0.25">
      <c r="A127" s="1">
        <v>35</v>
      </c>
      <c r="B127" s="3">
        <v>191500</v>
      </c>
      <c r="C127" s="12" t="s">
        <v>328</v>
      </c>
      <c r="D127" s="8" t="s">
        <v>329</v>
      </c>
      <c r="E127" s="8" t="s">
        <v>330</v>
      </c>
    </row>
    <row r="128" spans="1:6" x14ac:dyDescent="0.25">
      <c r="B128" s="5">
        <v>191500</v>
      </c>
      <c r="C128" s="11" t="s">
        <v>415</v>
      </c>
      <c r="D128" s="8" t="s">
        <v>402</v>
      </c>
      <c r="E128" s="8" t="s">
        <v>416</v>
      </c>
    </row>
    <row r="129" spans="1:5" ht="63" x14ac:dyDescent="0.25">
      <c r="A129" s="1">
        <v>36</v>
      </c>
      <c r="B129" s="3">
        <v>193700</v>
      </c>
      <c r="C129" s="31" t="s">
        <v>421</v>
      </c>
      <c r="D129" s="14" t="s">
        <v>422</v>
      </c>
      <c r="E129" s="15" t="s">
        <v>423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31" sqref="A31:E31"/>
    </sheetView>
  </sheetViews>
  <sheetFormatPr defaultRowHeight="15" x14ac:dyDescent="0.25"/>
  <cols>
    <col min="1" max="1" width="85.28515625" customWidth="1"/>
    <col min="2" max="2" width="12.42578125" style="25" customWidth="1"/>
    <col min="3" max="3" width="29" customWidth="1"/>
    <col min="4" max="4" width="11.28515625" customWidth="1"/>
    <col min="5" max="5" width="16.140625" customWidth="1"/>
  </cols>
  <sheetData>
    <row r="1" spans="1:5" ht="15.75" x14ac:dyDescent="0.25">
      <c r="A1" s="9" t="s">
        <v>324</v>
      </c>
      <c r="B1" s="37" t="s">
        <v>444</v>
      </c>
      <c r="C1" s="6" t="s">
        <v>3</v>
      </c>
      <c r="D1" s="6" t="s">
        <v>515</v>
      </c>
      <c r="E1" s="6" t="s">
        <v>513</v>
      </c>
    </row>
    <row r="2" spans="1:5" ht="15.75" x14ac:dyDescent="0.25">
      <c r="A2" s="11" t="s">
        <v>248</v>
      </c>
      <c r="B2" s="25">
        <v>2</v>
      </c>
      <c r="C2" s="8"/>
      <c r="D2" s="8" t="s">
        <v>525</v>
      </c>
      <c r="E2" s="8" t="s">
        <v>249</v>
      </c>
    </row>
    <row r="3" spans="1:5" ht="15.75" x14ac:dyDescent="0.25">
      <c r="A3" s="11" t="s">
        <v>256</v>
      </c>
      <c r="B3" s="25">
        <v>1</v>
      </c>
      <c r="C3" s="8" t="s">
        <v>257</v>
      </c>
      <c r="D3" s="8" t="s">
        <v>258</v>
      </c>
      <c r="E3" s="8" t="s">
        <v>258</v>
      </c>
    </row>
    <row r="4" spans="1:5" ht="15.75" x14ac:dyDescent="0.25">
      <c r="A4" s="11" t="s">
        <v>526</v>
      </c>
      <c r="B4" s="25">
        <v>2</v>
      </c>
      <c r="C4" s="8" t="s">
        <v>290</v>
      </c>
      <c r="D4" s="8" t="s">
        <v>527</v>
      </c>
      <c r="E4" s="8" t="s">
        <v>291</v>
      </c>
    </row>
    <row r="5" spans="1:5" ht="15.75" x14ac:dyDescent="0.25">
      <c r="A5" s="11" t="s">
        <v>411</v>
      </c>
      <c r="B5" s="25">
        <v>1</v>
      </c>
      <c r="C5" s="8"/>
      <c r="D5" s="8" t="s">
        <v>18</v>
      </c>
      <c r="E5" s="8" t="s">
        <v>18</v>
      </c>
    </row>
    <row r="6" spans="1:5" ht="15.75" x14ac:dyDescent="0.25">
      <c r="A6" s="11" t="s">
        <v>528</v>
      </c>
      <c r="B6" s="25">
        <v>2</v>
      </c>
      <c r="C6" s="8" t="s">
        <v>296</v>
      </c>
      <c r="D6" s="8" t="s">
        <v>529</v>
      </c>
      <c r="E6" s="8" t="s">
        <v>297</v>
      </c>
    </row>
    <row r="7" spans="1:5" ht="15.75" x14ac:dyDescent="0.25">
      <c r="A7" s="11" t="s">
        <v>85</v>
      </c>
      <c r="B7" s="25">
        <v>2</v>
      </c>
      <c r="C7" s="8" t="s">
        <v>83</v>
      </c>
      <c r="D7" s="8" t="s">
        <v>80</v>
      </c>
      <c r="E7" s="8" t="s">
        <v>84</v>
      </c>
    </row>
    <row r="8" spans="1:5" ht="15.75" x14ac:dyDescent="0.25">
      <c r="A8" s="11" t="s">
        <v>206</v>
      </c>
      <c r="B8" s="25">
        <v>1</v>
      </c>
      <c r="C8" s="8" t="s">
        <v>207</v>
      </c>
      <c r="D8" s="8" t="s">
        <v>209</v>
      </c>
      <c r="E8" s="8" t="s">
        <v>209</v>
      </c>
    </row>
    <row r="9" spans="1:5" ht="15.75" x14ac:dyDescent="0.25">
      <c r="A9" s="11" t="s">
        <v>303</v>
      </c>
      <c r="B9" s="25">
        <v>1</v>
      </c>
      <c r="C9" s="8"/>
      <c r="D9" s="8" t="s">
        <v>304</v>
      </c>
      <c r="E9" s="8" t="s">
        <v>304</v>
      </c>
    </row>
    <row r="10" spans="1:5" ht="15.75" x14ac:dyDescent="0.25">
      <c r="A10" s="11" t="s">
        <v>310</v>
      </c>
      <c r="C10" s="8" t="s">
        <v>311</v>
      </c>
      <c r="D10" s="8"/>
      <c r="E10" s="8" t="s">
        <v>307</v>
      </c>
    </row>
    <row r="11" spans="1:5" ht="15.75" x14ac:dyDescent="0.25">
      <c r="A11" s="11" t="s">
        <v>536</v>
      </c>
      <c r="B11" s="25" t="s">
        <v>537</v>
      </c>
      <c r="C11" s="8" t="s">
        <v>325</v>
      </c>
      <c r="D11" s="8"/>
    </row>
    <row r="12" spans="1:5" ht="15.75" x14ac:dyDescent="0.25">
      <c r="A12" s="11" t="s">
        <v>316</v>
      </c>
      <c r="B12" s="25">
        <v>1</v>
      </c>
      <c r="C12" s="8"/>
      <c r="D12" s="8" t="s">
        <v>317</v>
      </c>
      <c r="E12" s="8" t="s">
        <v>317</v>
      </c>
    </row>
    <row r="13" spans="1:5" ht="15.75" x14ac:dyDescent="0.25">
      <c r="A13" s="11" t="s">
        <v>409</v>
      </c>
      <c r="B13" s="25">
        <v>1</v>
      </c>
      <c r="C13" s="8" t="s">
        <v>410</v>
      </c>
      <c r="D13" s="8" t="s">
        <v>278</v>
      </c>
      <c r="E13" s="8" t="s">
        <v>278</v>
      </c>
    </row>
    <row r="14" spans="1:5" ht="15.75" x14ac:dyDescent="0.25">
      <c r="A14" s="11" t="s">
        <v>266</v>
      </c>
      <c r="B14" s="25">
        <v>1</v>
      </c>
      <c r="C14" s="8" t="s">
        <v>267</v>
      </c>
      <c r="D14" s="8" t="s">
        <v>268</v>
      </c>
      <c r="E14" s="8" t="s">
        <v>268</v>
      </c>
    </row>
    <row r="15" spans="1:5" ht="15.75" x14ac:dyDescent="0.25">
      <c r="A15" s="11" t="s">
        <v>262</v>
      </c>
      <c r="B15" s="25">
        <v>1</v>
      </c>
      <c r="C15" s="8" t="s">
        <v>263</v>
      </c>
      <c r="D15" s="8" t="s">
        <v>264</v>
      </c>
      <c r="E15" s="8" t="s">
        <v>264</v>
      </c>
    </row>
    <row r="16" spans="1:5" ht="15.75" x14ac:dyDescent="0.25">
      <c r="A16" s="11" t="s">
        <v>318</v>
      </c>
      <c r="B16" s="25">
        <v>1</v>
      </c>
      <c r="C16" s="8" t="s">
        <v>319</v>
      </c>
      <c r="D16" s="8" t="s">
        <v>320</v>
      </c>
      <c r="E16" s="8" t="s">
        <v>320</v>
      </c>
    </row>
    <row r="17" spans="1:5" ht="15.75" x14ac:dyDescent="0.25">
      <c r="A17" s="11" t="s">
        <v>269</v>
      </c>
      <c r="B17" s="25">
        <v>1</v>
      </c>
      <c r="C17" s="8" t="s">
        <v>270</v>
      </c>
      <c r="D17" s="8" t="s">
        <v>152</v>
      </c>
      <c r="E17" s="8" t="s">
        <v>152</v>
      </c>
    </row>
    <row r="18" spans="1:5" ht="15.75" x14ac:dyDescent="0.25">
      <c r="A18" s="12" t="s">
        <v>34</v>
      </c>
      <c r="B18" s="25">
        <v>1</v>
      </c>
      <c r="C18" s="8" t="s">
        <v>35</v>
      </c>
      <c r="D18" s="8" t="s">
        <v>36</v>
      </c>
      <c r="E18" s="8" t="s">
        <v>36</v>
      </c>
    </row>
    <row r="19" spans="1:5" ht="15.75" x14ac:dyDescent="0.25">
      <c r="A19" s="12" t="s">
        <v>524</v>
      </c>
      <c r="B19" s="25">
        <v>2</v>
      </c>
      <c r="C19" s="8" t="s">
        <v>38</v>
      </c>
      <c r="D19" s="8" t="s">
        <v>523</v>
      </c>
      <c r="E19" s="8" t="s">
        <v>39</v>
      </c>
    </row>
    <row r="20" spans="1:5" ht="15.75" x14ac:dyDescent="0.25">
      <c r="A20" s="12" t="s">
        <v>214</v>
      </c>
      <c r="B20" s="25">
        <v>1</v>
      </c>
      <c r="C20" s="8" t="s">
        <v>40</v>
      </c>
      <c r="D20" s="8" t="s">
        <v>43</v>
      </c>
      <c r="E20" s="8" t="s">
        <v>43</v>
      </c>
    </row>
    <row r="21" spans="1:5" ht="15.75" x14ac:dyDescent="0.25">
      <c r="A21" s="11" t="s">
        <v>127</v>
      </c>
      <c r="B21" s="25">
        <v>4</v>
      </c>
      <c r="C21" s="8" t="s">
        <v>128</v>
      </c>
      <c r="D21" s="8" t="s">
        <v>94</v>
      </c>
      <c r="E21" s="8" t="s">
        <v>129</v>
      </c>
    </row>
    <row r="22" spans="1:5" ht="15.75" x14ac:dyDescent="0.25">
      <c r="A22" s="11" t="s">
        <v>521</v>
      </c>
      <c r="B22" s="25">
        <v>2</v>
      </c>
      <c r="C22" s="11" t="s">
        <v>167</v>
      </c>
      <c r="D22" s="11" t="s">
        <v>522</v>
      </c>
      <c r="E22" s="11" t="s">
        <v>265</v>
      </c>
    </row>
    <row r="23" spans="1:5" ht="15.75" x14ac:dyDescent="0.25">
      <c r="A23" s="11" t="s">
        <v>108</v>
      </c>
      <c r="B23" s="25">
        <v>1</v>
      </c>
      <c r="C23" s="8"/>
      <c r="D23" s="8" t="s">
        <v>49</v>
      </c>
      <c r="E23" s="8" t="s">
        <v>49</v>
      </c>
    </row>
    <row r="24" spans="1:5" ht="15.75" x14ac:dyDescent="0.25">
      <c r="A24" s="11" t="s">
        <v>520</v>
      </c>
      <c r="B24" s="25">
        <v>3</v>
      </c>
      <c r="C24" s="8" t="s">
        <v>82</v>
      </c>
      <c r="D24" s="8" t="s">
        <v>517</v>
      </c>
      <c r="E24" s="8" t="s">
        <v>81</v>
      </c>
    </row>
    <row r="25" spans="1:5" ht="15.75" x14ac:dyDescent="0.25">
      <c r="A25" s="11" t="s">
        <v>335</v>
      </c>
      <c r="B25" s="25">
        <v>1</v>
      </c>
      <c r="C25" s="8" t="s">
        <v>336</v>
      </c>
      <c r="D25" s="8" t="s">
        <v>337</v>
      </c>
      <c r="E25" s="8" t="s">
        <v>337</v>
      </c>
    </row>
    <row r="26" spans="1:5" ht="15.75" x14ac:dyDescent="0.25">
      <c r="A26" s="8" t="s">
        <v>419</v>
      </c>
      <c r="B26" s="25" t="s">
        <v>534</v>
      </c>
      <c r="C26" t="s">
        <v>535</v>
      </c>
      <c r="D26" t="s">
        <v>516</v>
      </c>
      <c r="E26" s="8" t="s">
        <v>420</v>
      </c>
    </row>
    <row r="27" spans="1:5" ht="15.75" x14ac:dyDescent="0.25">
      <c r="A27" s="11" t="s">
        <v>519</v>
      </c>
      <c r="B27" s="25">
        <v>2</v>
      </c>
      <c r="C27" s="8" t="s">
        <v>427</v>
      </c>
      <c r="D27" s="8" t="s">
        <v>514</v>
      </c>
      <c r="E27" s="8" t="s">
        <v>428</v>
      </c>
    </row>
    <row r="28" spans="1:5" ht="15.75" x14ac:dyDescent="0.25">
      <c r="A28" s="33" t="s">
        <v>508</v>
      </c>
      <c r="B28" s="33">
        <v>2</v>
      </c>
      <c r="C28" s="33" t="s">
        <v>509</v>
      </c>
      <c r="D28" s="33">
        <v>462</v>
      </c>
      <c r="E28" s="33">
        <v>923</v>
      </c>
    </row>
    <row r="29" spans="1:5" ht="15.75" x14ac:dyDescent="0.25">
      <c r="A29" s="33" t="s">
        <v>510</v>
      </c>
      <c r="B29" s="33">
        <v>2</v>
      </c>
      <c r="C29" s="33" t="s">
        <v>511</v>
      </c>
      <c r="D29" s="33">
        <v>632</v>
      </c>
      <c r="E29" s="33">
        <v>1264</v>
      </c>
    </row>
    <row r="30" spans="1:5" ht="15.75" x14ac:dyDescent="0.25">
      <c r="A30" s="33" t="s">
        <v>506</v>
      </c>
      <c r="B30" s="33">
        <v>2</v>
      </c>
      <c r="C30" s="33" t="s">
        <v>512</v>
      </c>
      <c r="D30" s="33">
        <v>676</v>
      </c>
      <c r="E30" s="33">
        <v>1351</v>
      </c>
    </row>
    <row r="31" spans="1:5" ht="31.5" x14ac:dyDescent="0.25">
      <c r="A31" s="44" t="s">
        <v>548</v>
      </c>
      <c r="B31" s="33">
        <v>1</v>
      </c>
      <c r="C31" s="33" t="s">
        <v>505</v>
      </c>
      <c r="D31" s="33">
        <v>1062</v>
      </c>
      <c r="E31" s="33">
        <v>1062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4"/>
  <sheetViews>
    <sheetView tabSelected="1" workbookViewId="0">
      <selection activeCell="K7" sqref="K7"/>
    </sheetView>
  </sheetViews>
  <sheetFormatPr defaultRowHeight="15.75" x14ac:dyDescent="0.25"/>
  <cols>
    <col min="1" max="1" width="5" style="34" customWidth="1"/>
    <col min="2" max="2" width="44.85546875" style="33" customWidth="1"/>
    <col min="3" max="3" width="12.28515625" style="33" customWidth="1"/>
    <col min="4" max="4" width="27.85546875" style="33" customWidth="1"/>
    <col min="5" max="5" width="9.28515625" style="53" customWidth="1"/>
    <col min="6" max="6" width="16.140625" style="33" customWidth="1"/>
    <col min="7" max="7" width="9.42578125" style="34" customWidth="1"/>
    <col min="8" max="8" width="25.140625" style="34" customWidth="1"/>
    <col min="9" max="9" width="9.140625" style="34"/>
    <col min="10" max="10" width="10" style="34" customWidth="1"/>
    <col min="11" max="16384" width="9.140625" style="34"/>
  </cols>
  <sheetData>
    <row r="1" spans="1:12" s="35" customFormat="1" ht="16.5" thickBot="1" x14ac:dyDescent="0.3">
      <c r="A1" s="35" t="s">
        <v>136</v>
      </c>
      <c r="B1" s="35" t="s">
        <v>443</v>
      </c>
      <c r="C1" s="35" t="s">
        <v>444</v>
      </c>
      <c r="D1" s="35" t="s">
        <v>135</v>
      </c>
      <c r="E1" s="51" t="s">
        <v>515</v>
      </c>
      <c r="F1" s="56" t="s">
        <v>507</v>
      </c>
      <c r="G1" s="35" t="s">
        <v>445</v>
      </c>
      <c r="H1" s="35" t="s">
        <v>446</v>
      </c>
      <c r="I1" s="35" t="s">
        <v>580</v>
      </c>
      <c r="J1" s="35" t="s">
        <v>581</v>
      </c>
      <c r="K1" s="35" t="s">
        <v>582</v>
      </c>
      <c r="L1" s="35" t="s">
        <v>583</v>
      </c>
    </row>
    <row r="2" spans="1:12" s="38" customFormat="1" x14ac:dyDescent="0.25">
      <c r="B2" s="39" t="s">
        <v>447</v>
      </c>
      <c r="C2" s="40"/>
      <c r="D2" s="40"/>
      <c r="E2" s="52"/>
      <c r="F2" s="40"/>
    </row>
    <row r="3" spans="1:12" x14ac:dyDescent="0.25">
      <c r="B3" s="33" t="s">
        <v>448</v>
      </c>
      <c r="C3" s="33">
        <v>1</v>
      </c>
      <c r="D3" s="33" t="s">
        <v>449</v>
      </c>
      <c r="H3" s="34" t="s">
        <v>450</v>
      </c>
    </row>
    <row r="4" spans="1:12" x14ac:dyDescent="0.25">
      <c r="B4" s="33" t="s">
        <v>451</v>
      </c>
      <c r="C4" s="33">
        <v>1</v>
      </c>
      <c r="D4" s="33" t="s">
        <v>452</v>
      </c>
    </row>
    <row r="5" spans="1:12" x14ac:dyDescent="0.25">
      <c r="B5" s="33" t="s">
        <v>453</v>
      </c>
      <c r="C5" s="33">
        <v>1</v>
      </c>
      <c r="D5" s="33" t="s">
        <v>454</v>
      </c>
      <c r="H5" s="33" t="s">
        <v>455</v>
      </c>
    </row>
    <row r="6" spans="1:12" x14ac:dyDescent="0.25">
      <c r="B6" s="33" t="s">
        <v>456</v>
      </c>
      <c r="C6" s="33">
        <v>1</v>
      </c>
      <c r="D6" s="33" t="s">
        <v>457</v>
      </c>
      <c r="H6" s="33" t="s">
        <v>458</v>
      </c>
    </row>
    <row r="7" spans="1:12" x14ac:dyDescent="0.25">
      <c r="B7" s="33" t="s">
        <v>459</v>
      </c>
      <c r="C7" s="33">
        <v>1</v>
      </c>
      <c r="D7" s="33" t="s">
        <v>460</v>
      </c>
      <c r="H7" s="33" t="s">
        <v>461</v>
      </c>
    </row>
    <row r="8" spans="1:12" x14ac:dyDescent="0.25">
      <c r="B8" s="33" t="s">
        <v>462</v>
      </c>
      <c r="C8" s="33">
        <v>1</v>
      </c>
      <c r="D8" s="33" t="s">
        <v>463</v>
      </c>
      <c r="H8" s="34" t="s">
        <v>464</v>
      </c>
    </row>
    <row r="9" spans="1:12" x14ac:dyDescent="0.25">
      <c r="B9" s="33" t="s">
        <v>465</v>
      </c>
      <c r="C9" s="33">
        <v>1</v>
      </c>
      <c r="D9" s="33" t="s">
        <v>466</v>
      </c>
    </row>
    <row r="10" spans="1:12" ht="31.5" x14ac:dyDescent="0.25">
      <c r="B10" s="33" t="s">
        <v>467</v>
      </c>
      <c r="C10" s="33">
        <v>1</v>
      </c>
      <c r="D10" s="33" t="s">
        <v>468</v>
      </c>
      <c r="H10" s="45" t="s">
        <v>550</v>
      </c>
    </row>
    <row r="11" spans="1:12" x14ac:dyDescent="0.25">
      <c r="B11" s="34"/>
      <c r="D11" s="34"/>
      <c r="F11" s="57">
        <f>SUM(F3:F10)</f>
        <v>0</v>
      </c>
    </row>
    <row r="12" spans="1:12" s="38" customFormat="1" x14ac:dyDescent="0.25">
      <c r="B12" s="39" t="s">
        <v>469</v>
      </c>
      <c r="C12" s="40"/>
      <c r="D12" s="40"/>
      <c r="E12" s="52"/>
      <c r="F12" s="40"/>
    </row>
    <row r="13" spans="1:12" x14ac:dyDescent="0.25">
      <c r="B13" s="11" t="s">
        <v>269</v>
      </c>
      <c r="C13" s="33">
        <v>1</v>
      </c>
      <c r="D13" s="33" t="s">
        <v>470</v>
      </c>
      <c r="E13" s="5">
        <v>78</v>
      </c>
      <c r="F13" s="5">
        <v>78</v>
      </c>
      <c r="G13" s="34" t="s">
        <v>471</v>
      </c>
    </row>
    <row r="14" spans="1:12" x14ac:dyDescent="0.25">
      <c r="B14" s="36" t="s">
        <v>266</v>
      </c>
      <c r="C14" s="33">
        <v>1</v>
      </c>
      <c r="D14" s="36" t="s">
        <v>267</v>
      </c>
      <c r="E14" s="48">
        <v>96</v>
      </c>
      <c r="F14" s="48">
        <v>96</v>
      </c>
      <c r="G14" s="34" t="s">
        <v>471</v>
      </c>
    </row>
    <row r="15" spans="1:12" x14ac:dyDescent="0.25">
      <c r="B15" s="11" t="s">
        <v>262</v>
      </c>
      <c r="C15" s="33">
        <v>1</v>
      </c>
      <c r="D15" s="8" t="s">
        <v>263</v>
      </c>
      <c r="E15" s="5">
        <v>42</v>
      </c>
      <c r="F15" s="5">
        <v>42</v>
      </c>
      <c r="G15" s="34" t="s">
        <v>471</v>
      </c>
    </row>
    <row r="16" spans="1:12" x14ac:dyDescent="0.25">
      <c r="B16" s="12" t="s">
        <v>254</v>
      </c>
      <c r="C16" s="33">
        <v>1</v>
      </c>
      <c r="D16" s="8" t="s">
        <v>412</v>
      </c>
    </row>
    <row r="17" spans="2:8" x14ac:dyDescent="0.25">
      <c r="B17" s="12"/>
      <c r="D17" s="8"/>
      <c r="F17" s="57">
        <f>SUM(F13:F16)</f>
        <v>216</v>
      </c>
    </row>
    <row r="18" spans="2:8" s="38" customFormat="1" x14ac:dyDescent="0.25">
      <c r="B18" s="39" t="s">
        <v>472</v>
      </c>
      <c r="C18" s="40"/>
      <c r="E18" s="52"/>
      <c r="F18" s="40"/>
    </row>
    <row r="19" spans="2:8" x14ac:dyDescent="0.25">
      <c r="B19" s="33" t="s">
        <v>473</v>
      </c>
      <c r="C19" s="33">
        <v>12</v>
      </c>
      <c r="D19" s="33" t="s">
        <v>474</v>
      </c>
    </row>
    <row r="20" spans="2:8" x14ac:dyDescent="0.25">
      <c r="B20" s="33" t="s">
        <v>475</v>
      </c>
      <c r="C20" s="33">
        <v>12</v>
      </c>
      <c r="D20" s="33" t="s">
        <v>476</v>
      </c>
    </row>
    <row r="21" spans="2:8" x14ac:dyDescent="0.25">
      <c r="B21" s="33" t="s">
        <v>477</v>
      </c>
      <c r="C21" s="33">
        <v>2</v>
      </c>
      <c r="D21" s="33" t="s">
        <v>478</v>
      </c>
      <c r="H21" s="34" t="s">
        <v>479</v>
      </c>
    </row>
    <row r="22" spans="2:8" x14ac:dyDescent="0.25">
      <c r="B22" s="33" t="s">
        <v>542</v>
      </c>
      <c r="C22" s="33">
        <v>2</v>
      </c>
      <c r="D22" s="33" t="s">
        <v>480</v>
      </c>
    </row>
    <row r="23" spans="2:8" x14ac:dyDescent="0.25">
      <c r="B23" s="33" t="s">
        <v>481</v>
      </c>
      <c r="C23" s="33">
        <v>1</v>
      </c>
      <c r="D23" s="33" t="s">
        <v>482</v>
      </c>
    </row>
    <row r="24" spans="2:8" x14ac:dyDescent="0.25">
      <c r="B24" s="33" t="s">
        <v>483</v>
      </c>
      <c r="C24" s="33">
        <v>1</v>
      </c>
      <c r="D24" s="33" t="s">
        <v>484</v>
      </c>
    </row>
    <row r="25" spans="2:8" x14ac:dyDescent="0.25">
      <c r="B25" s="33" t="s">
        <v>485</v>
      </c>
      <c r="C25" s="33">
        <v>6</v>
      </c>
      <c r="D25" s="33" t="s">
        <v>486</v>
      </c>
    </row>
    <row r="26" spans="2:8" x14ac:dyDescent="0.25">
      <c r="B26" s="33" t="s">
        <v>487</v>
      </c>
      <c r="C26" s="33">
        <v>2</v>
      </c>
      <c r="D26" s="33" t="s">
        <v>488</v>
      </c>
    </row>
    <row r="27" spans="2:8" ht="31.5" x14ac:dyDescent="0.25">
      <c r="B27" s="44" t="s">
        <v>546</v>
      </c>
      <c r="C27" s="33">
        <v>1</v>
      </c>
      <c r="D27" s="33" t="s">
        <v>489</v>
      </c>
    </row>
    <row r="28" spans="2:8" x14ac:dyDescent="0.25">
      <c r="B28" s="12" t="s">
        <v>363</v>
      </c>
      <c r="C28" s="33">
        <v>1</v>
      </c>
      <c r="D28" s="8" t="s">
        <v>364</v>
      </c>
    </row>
    <row r="29" spans="2:8" x14ac:dyDescent="0.25">
      <c r="F29" s="57">
        <f>SUM(F19:F28)</f>
        <v>0</v>
      </c>
    </row>
    <row r="30" spans="2:8" s="38" customFormat="1" x14ac:dyDescent="0.25">
      <c r="B30" s="41" t="s">
        <v>490</v>
      </c>
      <c r="C30" s="40"/>
      <c r="E30" s="52"/>
      <c r="F30" s="40"/>
    </row>
    <row r="31" spans="2:8" x14ac:dyDescent="0.25">
      <c r="B31" s="11" t="s">
        <v>491</v>
      </c>
      <c r="C31" s="33">
        <v>6</v>
      </c>
      <c r="D31" s="8" t="s">
        <v>116</v>
      </c>
    </row>
    <row r="32" spans="2:8" x14ac:dyDescent="0.25">
      <c r="B32" s="11" t="s">
        <v>111</v>
      </c>
      <c r="C32" s="33">
        <v>1</v>
      </c>
      <c r="D32" s="8" t="s">
        <v>115</v>
      </c>
    </row>
    <row r="33" spans="2:9" x14ac:dyDescent="0.25">
      <c r="B33" s="34"/>
      <c r="F33" s="57">
        <f>SUM(F31:F32)</f>
        <v>0</v>
      </c>
    </row>
    <row r="34" spans="2:9" s="38" customFormat="1" x14ac:dyDescent="0.25">
      <c r="B34" s="39" t="s">
        <v>492</v>
      </c>
      <c r="C34" s="40"/>
      <c r="D34" s="40"/>
      <c r="E34" s="52"/>
      <c r="F34" s="40"/>
    </row>
    <row r="35" spans="2:9" x14ac:dyDescent="0.25">
      <c r="B35" t="s">
        <v>493</v>
      </c>
      <c r="C35" s="33">
        <v>1</v>
      </c>
      <c r="D35" s="33" t="s">
        <v>494</v>
      </c>
    </row>
    <row r="36" spans="2:9" x14ac:dyDescent="0.25">
      <c r="B36" t="s">
        <v>425</v>
      </c>
      <c r="C36" s="33">
        <v>1</v>
      </c>
      <c r="D36" s="33" t="s">
        <v>495</v>
      </c>
    </row>
    <row r="37" spans="2:9" x14ac:dyDescent="0.25">
      <c r="B37" t="s">
        <v>426</v>
      </c>
      <c r="C37" s="33">
        <v>1</v>
      </c>
      <c r="D37" s="33" t="s">
        <v>496</v>
      </c>
    </row>
    <row r="38" spans="2:9" x14ac:dyDescent="0.25">
      <c r="F38" s="57">
        <f>SUM(F35:F37)</f>
        <v>0</v>
      </c>
    </row>
    <row r="39" spans="2:9" s="38" customFormat="1" x14ac:dyDescent="0.25">
      <c r="B39" s="39" t="s">
        <v>429</v>
      </c>
      <c r="C39" s="40"/>
      <c r="D39" s="40"/>
      <c r="E39" s="52"/>
      <c r="F39" s="40"/>
    </row>
    <row r="40" spans="2:9" x14ac:dyDescent="0.25">
      <c r="B40" s="33" t="s">
        <v>430</v>
      </c>
      <c r="C40" s="33">
        <v>1</v>
      </c>
      <c r="D40" s="33" t="s">
        <v>431</v>
      </c>
      <c r="E40" s="53">
        <v>4947.9399999999996</v>
      </c>
      <c r="F40" s="53">
        <v>4947.9399999999996</v>
      </c>
      <c r="G40" s="34" t="s">
        <v>595</v>
      </c>
      <c r="H40" s="34" t="s">
        <v>432</v>
      </c>
      <c r="I40" s="53">
        <v>4947.9399999999996</v>
      </c>
    </row>
    <row r="41" spans="2:9" x14ac:dyDescent="0.25">
      <c r="B41" s="33" t="s">
        <v>433</v>
      </c>
      <c r="C41" s="33">
        <v>1</v>
      </c>
      <c r="D41" s="33" t="s">
        <v>434</v>
      </c>
      <c r="E41" s="53">
        <v>4689.97</v>
      </c>
      <c r="F41" s="53">
        <v>4689.97</v>
      </c>
      <c r="G41" s="34" t="s">
        <v>595</v>
      </c>
      <c r="H41" s="33" t="s">
        <v>435</v>
      </c>
      <c r="I41" s="53">
        <v>4689.97</v>
      </c>
    </row>
    <row r="42" spans="2:9" x14ac:dyDescent="0.25">
      <c r="B42" s="33" t="s">
        <v>436</v>
      </c>
      <c r="C42" s="33">
        <v>1</v>
      </c>
      <c r="D42" s="33" t="s">
        <v>437</v>
      </c>
      <c r="E42" s="53">
        <v>1266.2</v>
      </c>
      <c r="F42" s="53">
        <v>1266.2</v>
      </c>
      <c r="G42" s="34" t="s">
        <v>595</v>
      </c>
      <c r="H42" s="33" t="s">
        <v>438</v>
      </c>
      <c r="I42" s="53">
        <v>1266.2</v>
      </c>
    </row>
    <row r="43" spans="2:9" ht="31.5" x14ac:dyDescent="0.25">
      <c r="B43" s="44" t="s">
        <v>547</v>
      </c>
      <c r="C43" s="33">
        <v>2</v>
      </c>
      <c r="D43" s="33" t="s">
        <v>440</v>
      </c>
      <c r="E43" s="33">
        <v>791.3</v>
      </c>
      <c r="F43" s="33">
        <v>791.3</v>
      </c>
      <c r="G43" s="34" t="s">
        <v>595</v>
      </c>
      <c r="I43" s="33">
        <v>791.3</v>
      </c>
    </row>
    <row r="44" spans="2:9" ht="31.5" x14ac:dyDescent="0.25">
      <c r="B44" s="44" t="s">
        <v>549</v>
      </c>
      <c r="C44" s="33">
        <v>2</v>
      </c>
      <c r="D44" s="33" t="s">
        <v>442</v>
      </c>
      <c r="I44" s="53"/>
    </row>
    <row r="45" spans="2:9" x14ac:dyDescent="0.25">
      <c r="B45" s="33" t="s">
        <v>497</v>
      </c>
      <c r="C45" s="33">
        <v>2</v>
      </c>
      <c r="D45" s="33" t="s">
        <v>498</v>
      </c>
      <c r="E45" s="53">
        <v>2526.1799999999998</v>
      </c>
      <c r="F45" s="33">
        <v>5052.3599999999997</v>
      </c>
      <c r="G45" s="34" t="s">
        <v>595</v>
      </c>
      <c r="H45" s="34" t="s">
        <v>499</v>
      </c>
      <c r="I45" s="53">
        <v>2526.1799999999998</v>
      </c>
    </row>
    <row r="46" spans="2:9" ht="31.5" x14ac:dyDescent="0.25">
      <c r="B46" s="44" t="s">
        <v>548</v>
      </c>
      <c r="C46" s="33">
        <v>1</v>
      </c>
      <c r="D46" s="33" t="s">
        <v>505</v>
      </c>
      <c r="E46" s="33">
        <v>1062</v>
      </c>
      <c r="F46" s="33">
        <v>1062</v>
      </c>
      <c r="G46" s="34" t="s">
        <v>595</v>
      </c>
    </row>
    <row r="47" spans="2:9" x14ac:dyDescent="0.25">
      <c r="B47" s="33" t="s">
        <v>508</v>
      </c>
      <c r="C47" s="33">
        <v>2</v>
      </c>
      <c r="D47" s="33" t="s">
        <v>509</v>
      </c>
      <c r="E47" s="53">
        <v>462</v>
      </c>
      <c r="F47" s="33">
        <v>923</v>
      </c>
      <c r="G47" s="34" t="s">
        <v>471</v>
      </c>
    </row>
    <row r="48" spans="2:9" x14ac:dyDescent="0.25">
      <c r="B48" s="33" t="s">
        <v>510</v>
      </c>
      <c r="C48" s="33">
        <v>2</v>
      </c>
      <c r="D48" s="33" t="s">
        <v>511</v>
      </c>
      <c r="E48" s="53">
        <v>632</v>
      </c>
      <c r="F48" s="33">
        <v>1264</v>
      </c>
      <c r="G48" s="34" t="s">
        <v>471</v>
      </c>
    </row>
    <row r="49" spans="2:10" x14ac:dyDescent="0.25">
      <c r="B49" s="33" t="s">
        <v>506</v>
      </c>
      <c r="C49" s="33">
        <v>2</v>
      </c>
      <c r="D49" s="33" t="s">
        <v>512</v>
      </c>
      <c r="E49" s="53">
        <v>676</v>
      </c>
      <c r="F49" s="33">
        <v>1351</v>
      </c>
      <c r="G49" s="34" t="s">
        <v>471</v>
      </c>
    </row>
    <row r="50" spans="2:10" x14ac:dyDescent="0.25">
      <c r="F50" s="57">
        <f>SUM(F40:F49)</f>
        <v>21347.77</v>
      </c>
    </row>
    <row r="51" spans="2:10" s="38" customFormat="1" x14ac:dyDescent="0.25">
      <c r="B51" s="42" t="s">
        <v>554</v>
      </c>
      <c r="C51" s="40"/>
      <c r="D51" s="40"/>
      <c r="E51" s="52"/>
      <c r="F51" s="40"/>
    </row>
    <row r="52" spans="2:10" s="46" customFormat="1" x14ac:dyDescent="0.25">
      <c r="B52" s="7" t="s">
        <v>555</v>
      </c>
      <c r="C52" s="47">
        <v>1</v>
      </c>
      <c r="D52" s="47" t="s">
        <v>558</v>
      </c>
      <c r="E52" s="54"/>
      <c r="F52" s="47"/>
      <c r="I52" s="54">
        <v>6514</v>
      </c>
    </row>
    <row r="53" spans="2:10" s="46" customFormat="1" x14ac:dyDescent="0.25">
      <c r="B53" s="7" t="s">
        <v>556</v>
      </c>
      <c r="C53" s="47">
        <v>1</v>
      </c>
      <c r="D53" s="47" t="s">
        <v>557</v>
      </c>
      <c r="E53" s="54"/>
      <c r="F53" s="47"/>
      <c r="I53" s="54">
        <v>6670</v>
      </c>
    </row>
    <row r="54" spans="2:10" s="46" customFormat="1" x14ac:dyDescent="0.25">
      <c r="B54" s="7" t="s">
        <v>596</v>
      </c>
      <c r="C54" s="47">
        <v>4</v>
      </c>
      <c r="D54" s="47" t="s">
        <v>597</v>
      </c>
      <c r="E54" s="54">
        <v>594.25</v>
      </c>
      <c r="F54" s="47">
        <v>2377</v>
      </c>
      <c r="G54" s="34" t="s">
        <v>595</v>
      </c>
      <c r="I54" s="54">
        <v>495</v>
      </c>
    </row>
    <row r="55" spans="2:10" s="46" customFormat="1" x14ac:dyDescent="0.25">
      <c r="B55" s="7" t="s">
        <v>598</v>
      </c>
      <c r="C55" s="47">
        <v>4</v>
      </c>
      <c r="D55" s="47" t="s">
        <v>599</v>
      </c>
      <c r="E55" s="54">
        <v>72.73</v>
      </c>
      <c r="F55" s="47">
        <v>292</v>
      </c>
      <c r="G55" s="34" t="s">
        <v>595</v>
      </c>
      <c r="I55" s="54">
        <v>73</v>
      </c>
    </row>
    <row r="56" spans="2:10" x14ac:dyDescent="0.25">
      <c r="F56" s="57">
        <f>SUM(F52:F55)</f>
        <v>2669</v>
      </c>
    </row>
    <row r="57" spans="2:10" s="38" customFormat="1" x14ac:dyDescent="0.25">
      <c r="B57" s="39" t="s">
        <v>518</v>
      </c>
      <c r="C57" s="40"/>
      <c r="D57" s="40"/>
      <c r="E57" s="52"/>
      <c r="F57" s="40"/>
    </row>
    <row r="58" spans="2:10" s="33" customFormat="1" x14ac:dyDescent="0.25">
      <c r="B58" s="33" t="s">
        <v>559</v>
      </c>
      <c r="C58" s="33">
        <v>2</v>
      </c>
      <c r="D58" s="33" t="s">
        <v>560</v>
      </c>
      <c r="E58" s="53">
        <v>255.72</v>
      </c>
      <c r="F58" s="33">
        <v>511.44</v>
      </c>
      <c r="G58" s="34" t="s">
        <v>595</v>
      </c>
      <c r="H58" s="33" t="s">
        <v>600</v>
      </c>
      <c r="J58" s="53">
        <v>255.72</v>
      </c>
    </row>
    <row r="59" spans="2:10" s="33" customFormat="1" x14ac:dyDescent="0.25">
      <c r="B59" s="33" t="s">
        <v>561</v>
      </c>
      <c r="C59" s="33">
        <v>2</v>
      </c>
      <c r="D59" s="33" t="s">
        <v>562</v>
      </c>
      <c r="E59" s="53">
        <v>401.86</v>
      </c>
      <c r="F59" s="33">
        <v>803.72</v>
      </c>
      <c r="G59" s="34" t="s">
        <v>595</v>
      </c>
      <c r="J59" s="53">
        <v>401.86</v>
      </c>
    </row>
    <row r="60" spans="2:10" s="33" customFormat="1" x14ac:dyDescent="0.25">
      <c r="B60" s="33" t="s">
        <v>564</v>
      </c>
      <c r="C60" s="33">
        <v>2</v>
      </c>
      <c r="D60" s="33" t="s">
        <v>563</v>
      </c>
      <c r="E60" s="53">
        <v>290.44</v>
      </c>
      <c r="F60" s="33">
        <v>580.88</v>
      </c>
      <c r="G60" s="34" t="s">
        <v>595</v>
      </c>
      <c r="H60" s="33" t="s">
        <v>565</v>
      </c>
      <c r="J60" s="53">
        <v>290.44</v>
      </c>
    </row>
    <row r="61" spans="2:10" s="33" customFormat="1" ht="31.5" x14ac:dyDescent="0.25">
      <c r="B61" s="44" t="s">
        <v>566</v>
      </c>
      <c r="C61" s="33">
        <v>1</v>
      </c>
      <c r="D61" s="33" t="s">
        <v>567</v>
      </c>
      <c r="E61" s="33">
        <v>901.94</v>
      </c>
      <c r="F61" s="33">
        <v>901.94</v>
      </c>
      <c r="G61" s="34" t="s">
        <v>595</v>
      </c>
      <c r="H61" s="33" t="s">
        <v>568</v>
      </c>
      <c r="I61" s="33">
        <v>901.94</v>
      </c>
    </row>
    <row r="62" spans="2:10" s="33" customFormat="1" x14ac:dyDescent="0.25">
      <c r="B62" s="44" t="s">
        <v>569</v>
      </c>
      <c r="C62" s="33">
        <v>2</v>
      </c>
      <c r="D62" s="33" t="s">
        <v>570</v>
      </c>
      <c r="E62" s="53">
        <v>3239.16</v>
      </c>
      <c r="F62" s="33">
        <v>6478.32</v>
      </c>
      <c r="G62" s="34" t="s">
        <v>595</v>
      </c>
      <c r="H62" s="33" t="s">
        <v>571</v>
      </c>
      <c r="I62" s="53">
        <v>3239.16</v>
      </c>
    </row>
    <row r="63" spans="2:10" s="33" customFormat="1" x14ac:dyDescent="0.25">
      <c r="B63" s="44" t="s">
        <v>572</v>
      </c>
      <c r="C63" s="33">
        <v>1</v>
      </c>
      <c r="D63" s="33" t="s">
        <v>573</v>
      </c>
      <c r="E63" s="53">
        <v>1440.25</v>
      </c>
      <c r="F63" s="33">
        <v>1440.25</v>
      </c>
      <c r="G63" s="34" t="s">
        <v>595</v>
      </c>
      <c r="H63" s="33" t="s">
        <v>574</v>
      </c>
      <c r="I63" s="53">
        <v>1440.25</v>
      </c>
    </row>
    <row r="64" spans="2:10" s="33" customFormat="1" ht="31.5" x14ac:dyDescent="0.25">
      <c r="B64" s="44" t="s">
        <v>575</v>
      </c>
      <c r="C64" s="33" t="s">
        <v>579</v>
      </c>
      <c r="D64" s="33" t="s">
        <v>576</v>
      </c>
      <c r="E64" s="33">
        <v>770.78</v>
      </c>
      <c r="F64" s="33">
        <v>3083.12</v>
      </c>
      <c r="G64" s="34" t="s">
        <v>595</v>
      </c>
      <c r="H64" s="44" t="s">
        <v>601</v>
      </c>
      <c r="I64" s="33">
        <v>770.78</v>
      </c>
    </row>
    <row r="65" spans="2:9" s="33" customFormat="1" x14ac:dyDescent="0.25">
      <c r="B65" s="44" t="s">
        <v>577</v>
      </c>
      <c r="C65" s="33">
        <v>2</v>
      </c>
      <c r="D65" s="33" t="s">
        <v>578</v>
      </c>
      <c r="E65" s="53">
        <v>486.71</v>
      </c>
      <c r="F65" s="33">
        <v>973.42</v>
      </c>
      <c r="G65" s="34" t="s">
        <v>595</v>
      </c>
      <c r="I65" s="53">
        <v>486.71</v>
      </c>
    </row>
    <row r="66" spans="2:9" x14ac:dyDescent="0.25">
      <c r="F66" s="57">
        <f>SUM(F58:F65)</f>
        <v>14773.089999999998</v>
      </c>
    </row>
    <row r="67" spans="2:9" s="38" customFormat="1" x14ac:dyDescent="0.25">
      <c r="B67" s="39" t="s">
        <v>530</v>
      </c>
      <c r="C67" s="40"/>
      <c r="D67" s="40"/>
      <c r="E67" s="52"/>
      <c r="F67" s="40"/>
    </row>
    <row r="68" spans="2:9" s="11" customFormat="1" x14ac:dyDescent="0.25">
      <c r="B68" s="11" t="s">
        <v>419</v>
      </c>
      <c r="C68" s="11" t="s">
        <v>534</v>
      </c>
      <c r="D68" s="11" t="s">
        <v>535</v>
      </c>
      <c r="E68" s="55">
        <v>1100</v>
      </c>
      <c r="F68" s="55">
        <v>3300</v>
      </c>
      <c r="G68" s="11" t="s">
        <v>471</v>
      </c>
    </row>
    <row r="69" spans="2:9" x14ac:dyDescent="0.25">
      <c r="B69" s="11" t="s">
        <v>53</v>
      </c>
      <c r="C69" s="34" t="s">
        <v>538</v>
      </c>
      <c r="D69" s="8" t="s">
        <v>531</v>
      </c>
      <c r="E69" s="53">
        <v>1690</v>
      </c>
      <c r="F69" s="5">
        <v>1690</v>
      </c>
      <c r="G69" s="34" t="s">
        <v>595</v>
      </c>
    </row>
    <row r="70" spans="2:9" x14ac:dyDescent="0.25">
      <c r="B70" s="11" t="s">
        <v>54</v>
      </c>
      <c r="C70" s="33" t="s">
        <v>539</v>
      </c>
      <c r="D70" s="8" t="s">
        <v>532</v>
      </c>
      <c r="E70" s="53">
        <v>360</v>
      </c>
      <c r="F70" s="33">
        <v>360</v>
      </c>
      <c r="G70" s="34" t="s">
        <v>595</v>
      </c>
    </row>
    <row r="71" spans="2:9" x14ac:dyDescent="0.25">
      <c r="B71" s="11" t="s">
        <v>55</v>
      </c>
      <c r="C71" s="34" t="s">
        <v>540</v>
      </c>
      <c r="D71" s="8" t="s">
        <v>533</v>
      </c>
      <c r="E71" s="53">
        <v>770</v>
      </c>
      <c r="F71" s="33">
        <v>1925</v>
      </c>
      <c r="G71" s="34" t="s">
        <v>595</v>
      </c>
    </row>
    <row r="72" spans="2:9" x14ac:dyDescent="0.25">
      <c r="B72" s="11" t="s">
        <v>56</v>
      </c>
      <c r="C72" s="34" t="s">
        <v>541</v>
      </c>
      <c r="D72" s="8" t="s">
        <v>533</v>
      </c>
      <c r="E72" s="53">
        <v>770</v>
      </c>
      <c r="F72" s="33">
        <v>1925</v>
      </c>
      <c r="G72" s="34" t="s">
        <v>595</v>
      </c>
    </row>
    <row r="73" spans="2:9" x14ac:dyDescent="0.25">
      <c r="B73" s="11"/>
      <c r="C73" s="34"/>
      <c r="D73" s="8"/>
      <c r="F73" s="57">
        <f>SUM(F68:F72)</f>
        <v>9200</v>
      </c>
    </row>
    <row r="74" spans="2:9" s="38" customFormat="1" x14ac:dyDescent="0.25">
      <c r="B74" s="42" t="s">
        <v>543</v>
      </c>
      <c r="D74" s="43"/>
      <c r="E74" s="52"/>
      <c r="F74" s="40"/>
    </row>
    <row r="75" spans="2:9" x14ac:dyDescent="0.25">
      <c r="B75" s="11" t="s">
        <v>544</v>
      </c>
      <c r="C75" s="34"/>
      <c r="D75" s="8"/>
    </row>
    <row r="76" spans="2:9" x14ac:dyDescent="0.25">
      <c r="B76" s="11" t="s">
        <v>37</v>
      </c>
      <c r="C76" s="34"/>
      <c r="D76" s="8"/>
    </row>
    <row r="77" spans="2:9" x14ac:dyDescent="0.25">
      <c r="B77" s="11" t="s">
        <v>545</v>
      </c>
      <c r="C77" s="34"/>
      <c r="D77" s="8"/>
      <c r="E77" s="53">
        <v>5000</v>
      </c>
      <c r="F77" s="53">
        <v>5000</v>
      </c>
    </row>
    <row r="78" spans="2:9" x14ac:dyDescent="0.25">
      <c r="B78" s="11" t="s">
        <v>551</v>
      </c>
      <c r="C78" s="34"/>
      <c r="D78" s="8"/>
    </row>
    <row r="79" spans="2:9" x14ac:dyDescent="0.25">
      <c r="B79" s="11" t="s">
        <v>552</v>
      </c>
      <c r="C79" s="34"/>
      <c r="D79" s="8"/>
    </row>
    <row r="80" spans="2:9" x14ac:dyDescent="0.25">
      <c r="B80" s="11" t="s">
        <v>553</v>
      </c>
      <c r="C80" s="34"/>
      <c r="D80" s="8"/>
    </row>
    <row r="81" spans="2:6" x14ac:dyDescent="0.25">
      <c r="F81" s="57">
        <f>SUM(F75:F80)</f>
        <v>5000</v>
      </c>
    </row>
    <row r="82" spans="2:6" s="38" customFormat="1" x14ac:dyDescent="0.25">
      <c r="B82" s="39" t="s">
        <v>500</v>
      </c>
      <c r="C82" s="40"/>
      <c r="D82" s="40"/>
      <c r="E82" s="52"/>
      <c r="F82" s="40"/>
    </row>
    <row r="83" spans="2:6" x14ac:dyDescent="0.25">
      <c r="B83" s="33" t="s">
        <v>501</v>
      </c>
      <c r="C83" s="33">
        <v>1</v>
      </c>
      <c r="D83" s="33" t="s">
        <v>502</v>
      </c>
    </row>
    <row r="84" spans="2:6" x14ac:dyDescent="0.25">
      <c r="B84" t="s">
        <v>503</v>
      </c>
      <c r="C84" s="33">
        <v>1</v>
      </c>
      <c r="D84" s="33" t="s">
        <v>504</v>
      </c>
    </row>
  </sheetData>
  <printOptions gridLines="1"/>
  <pageMargins left="0.7" right="0.7" top="0.75" bottom="0.75" header="0.3" footer="0.3"/>
  <pageSetup scale="8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3" sqref="E13"/>
    </sheetView>
  </sheetViews>
  <sheetFormatPr defaultRowHeight="15" x14ac:dyDescent="0.25"/>
  <cols>
    <col min="1" max="1" width="25.7109375" style="25" customWidth="1"/>
    <col min="2" max="3" width="20.42578125" style="25" customWidth="1"/>
    <col min="4" max="4" width="15.85546875" style="25" customWidth="1"/>
    <col min="5" max="5" width="41.42578125" style="25" customWidth="1"/>
    <col min="6" max="6" width="54.5703125" style="25" customWidth="1"/>
  </cols>
  <sheetData>
    <row r="1" spans="1:6" ht="19.5" thickBot="1" x14ac:dyDescent="0.35">
      <c r="A1" s="26" t="s">
        <v>134</v>
      </c>
      <c r="B1" s="26" t="s">
        <v>218</v>
      </c>
      <c r="C1" s="26" t="s">
        <v>219</v>
      </c>
      <c r="D1" s="26" t="s">
        <v>220</v>
      </c>
      <c r="E1" s="26" t="s">
        <v>221</v>
      </c>
      <c r="F1" s="26" t="s">
        <v>222</v>
      </c>
    </row>
    <row r="2" spans="1:6" ht="16.5" thickTop="1" x14ac:dyDescent="0.25">
      <c r="A2" s="24" t="s">
        <v>223</v>
      </c>
      <c r="B2" s="24" t="s">
        <v>224</v>
      </c>
      <c r="C2" s="24">
        <v>958216255</v>
      </c>
      <c r="D2" s="24" t="s">
        <v>225</v>
      </c>
      <c r="E2" s="24" t="s">
        <v>226</v>
      </c>
    </row>
    <row r="3" spans="1:6" ht="15.75" x14ac:dyDescent="0.25">
      <c r="A3" s="24" t="s">
        <v>227</v>
      </c>
      <c r="B3" s="24" t="s">
        <v>244</v>
      </c>
      <c r="C3" s="24">
        <v>505269040</v>
      </c>
      <c r="D3" s="24" t="s">
        <v>228</v>
      </c>
      <c r="E3" s="24" t="s">
        <v>229</v>
      </c>
    </row>
    <row r="4" spans="1:6" x14ac:dyDescent="0.25">
      <c r="A4" s="25" t="s">
        <v>230</v>
      </c>
      <c r="B4" s="25" t="s">
        <v>231</v>
      </c>
      <c r="C4" s="25" t="s">
        <v>232</v>
      </c>
      <c r="D4" s="25" t="s">
        <v>233</v>
      </c>
      <c r="F4" s="25" t="s">
        <v>234</v>
      </c>
    </row>
    <row r="5" spans="1:6" ht="15.75" x14ac:dyDescent="0.25">
      <c r="A5" s="25" t="s">
        <v>235</v>
      </c>
      <c r="B5" s="25" t="s">
        <v>236</v>
      </c>
      <c r="C5" s="24" t="s">
        <v>237</v>
      </c>
      <c r="D5" s="25" t="s">
        <v>228</v>
      </c>
      <c r="E5" s="25" t="s">
        <v>238</v>
      </c>
      <c r="F5" s="25" t="s">
        <v>239</v>
      </c>
    </row>
    <row r="6" spans="1:6" ht="15.75" x14ac:dyDescent="0.25">
      <c r="A6" s="5" t="s">
        <v>205</v>
      </c>
      <c r="B6" s="25" t="s">
        <v>240</v>
      </c>
      <c r="C6" s="24" t="s">
        <v>241</v>
      </c>
      <c r="D6" s="25" t="s">
        <v>225</v>
      </c>
      <c r="E6" s="25" t="s">
        <v>242</v>
      </c>
      <c r="F6" s="25" t="s">
        <v>243</v>
      </c>
    </row>
    <row r="7" spans="1:6" x14ac:dyDescent="0.25">
      <c r="A7" s="25" t="s">
        <v>367</v>
      </c>
      <c r="B7" s="25" t="s">
        <v>383</v>
      </c>
      <c r="C7" s="25" t="s">
        <v>389</v>
      </c>
      <c r="D7" s="25" t="s">
        <v>384</v>
      </c>
      <c r="E7" s="25" t="s">
        <v>385</v>
      </c>
      <c r="F7" s="25" t="s">
        <v>386</v>
      </c>
    </row>
    <row r="8" spans="1:6" x14ac:dyDescent="0.25">
      <c r="A8" s="25" t="s">
        <v>388</v>
      </c>
      <c r="B8" s="25" t="s">
        <v>387</v>
      </c>
      <c r="C8" s="25" t="s">
        <v>390</v>
      </c>
      <c r="D8" s="25" t="s">
        <v>384</v>
      </c>
      <c r="E8" s="25" t="s">
        <v>391</v>
      </c>
      <c r="F8" s="25" t="s">
        <v>392</v>
      </c>
    </row>
    <row r="9" spans="1:6" x14ac:dyDescent="0.25">
      <c r="A9" s="25" t="s">
        <v>394</v>
      </c>
      <c r="B9" s="25" t="s">
        <v>396</v>
      </c>
      <c r="C9" s="25" t="s">
        <v>586</v>
      </c>
      <c r="D9" s="25" t="s">
        <v>384</v>
      </c>
      <c r="E9" s="25" t="s">
        <v>395</v>
      </c>
      <c r="F9" s="25" t="s">
        <v>392</v>
      </c>
    </row>
    <row r="10" spans="1:6" x14ac:dyDescent="0.25">
      <c r="A10" s="25" t="s">
        <v>398</v>
      </c>
      <c r="B10" s="25" t="s">
        <v>399</v>
      </c>
      <c r="C10" s="25" t="s">
        <v>585</v>
      </c>
      <c r="D10" s="25" t="s">
        <v>384</v>
      </c>
      <c r="E10" s="25" t="s">
        <v>400</v>
      </c>
      <c r="F10" s="25" t="s">
        <v>401</v>
      </c>
    </row>
    <row r="11" spans="1:6" x14ac:dyDescent="0.25">
      <c r="A11" s="49" t="s">
        <v>587</v>
      </c>
      <c r="C11" s="25" t="s">
        <v>584</v>
      </c>
      <c r="D11" s="25" t="s">
        <v>384</v>
      </c>
      <c r="E11" s="25" t="s">
        <v>594</v>
      </c>
      <c r="F11" s="25" t="s">
        <v>588</v>
      </c>
    </row>
    <row r="12" spans="1:6" ht="30" x14ac:dyDescent="0.25">
      <c r="A12" s="25" t="s">
        <v>589</v>
      </c>
      <c r="B12" s="25" t="s">
        <v>590</v>
      </c>
      <c r="C12" s="50" t="s">
        <v>592</v>
      </c>
      <c r="D12" s="25" t="s">
        <v>384</v>
      </c>
      <c r="E12" s="25" t="s">
        <v>593</v>
      </c>
      <c r="F12" s="50" t="s">
        <v>591</v>
      </c>
    </row>
  </sheetData>
  <phoneticPr fontId="13" type="noConversion"/>
  <hyperlinks>
    <hyperlink ref="A11" r:id="rId1" display="http://dctuning.r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B1" workbookViewId="0">
      <selection activeCell="B8" sqref="B8"/>
    </sheetView>
  </sheetViews>
  <sheetFormatPr defaultColWidth="8.85546875" defaultRowHeight="15" x14ac:dyDescent="0.25"/>
  <cols>
    <col min="1" max="1" width="4.140625" customWidth="1"/>
    <col min="2" max="2" width="49.85546875" customWidth="1"/>
    <col min="3" max="3" width="16.28515625" customWidth="1"/>
    <col min="4" max="4" width="28" customWidth="1"/>
    <col min="5" max="5" width="11.42578125" customWidth="1"/>
    <col min="6" max="6" width="22.28515625" customWidth="1"/>
    <col min="7" max="7" width="11.42578125" customWidth="1"/>
    <col min="8" max="8" width="12" customWidth="1"/>
    <col min="9" max="9" width="31.42578125" customWidth="1"/>
  </cols>
  <sheetData>
    <row r="1" spans="1:9" s="20" customFormat="1" x14ac:dyDescent="0.25">
      <c r="A1" s="20" t="s">
        <v>136</v>
      </c>
      <c r="B1" s="20" t="s">
        <v>134</v>
      </c>
      <c r="C1" s="20" t="s">
        <v>137</v>
      </c>
      <c r="D1" s="20" t="s">
        <v>135</v>
      </c>
      <c r="E1" s="20" t="s">
        <v>143</v>
      </c>
      <c r="F1" s="20" t="s">
        <v>146</v>
      </c>
      <c r="G1" s="20" t="s">
        <v>154</v>
      </c>
      <c r="H1" s="20" t="s">
        <v>143</v>
      </c>
      <c r="I1" s="20" t="s">
        <v>163</v>
      </c>
    </row>
    <row r="2" spans="1:9" ht="15.75" x14ac:dyDescent="0.25">
      <c r="B2" s="12" t="s">
        <v>138</v>
      </c>
      <c r="C2" s="12" t="s">
        <v>139</v>
      </c>
      <c r="D2" s="8" t="s">
        <v>86</v>
      </c>
      <c r="E2" t="s">
        <v>145</v>
      </c>
      <c r="F2" t="s">
        <v>153</v>
      </c>
      <c r="G2" t="s">
        <v>155</v>
      </c>
      <c r="H2" t="s">
        <v>159</v>
      </c>
    </row>
    <row r="3" spans="1:9" ht="15.75" x14ac:dyDescent="0.25">
      <c r="A3" s="21"/>
      <c r="B3" s="21" t="s">
        <v>140</v>
      </c>
      <c r="C3" s="21" t="s">
        <v>141</v>
      </c>
      <c r="D3" s="22" t="s">
        <v>151</v>
      </c>
      <c r="E3" s="21"/>
      <c r="F3" s="21" t="s">
        <v>165</v>
      </c>
      <c r="G3" s="21" t="s">
        <v>166</v>
      </c>
    </row>
    <row r="4" spans="1:9" x14ac:dyDescent="0.25">
      <c r="B4" t="s">
        <v>142</v>
      </c>
      <c r="C4" t="s">
        <v>139</v>
      </c>
      <c r="D4" t="s">
        <v>78</v>
      </c>
      <c r="E4" t="s">
        <v>144</v>
      </c>
      <c r="F4" t="s">
        <v>156</v>
      </c>
      <c r="G4" t="s">
        <v>158</v>
      </c>
      <c r="H4" t="s">
        <v>157</v>
      </c>
    </row>
    <row r="5" spans="1:9" ht="15.75" x14ac:dyDescent="0.25">
      <c r="B5" s="11" t="s">
        <v>147</v>
      </c>
      <c r="C5" t="s">
        <v>139</v>
      </c>
      <c r="D5" s="11" t="s">
        <v>76</v>
      </c>
      <c r="E5" t="s">
        <v>148</v>
      </c>
      <c r="F5" s="11" t="s">
        <v>160</v>
      </c>
      <c r="G5" t="s">
        <v>161</v>
      </c>
      <c r="H5" s="11" t="s">
        <v>162</v>
      </c>
      <c r="I5" t="s">
        <v>164</v>
      </c>
    </row>
    <row r="6" spans="1:9" ht="15.75" x14ac:dyDescent="0.25">
      <c r="A6" s="21"/>
      <c r="B6" s="21" t="s">
        <v>149</v>
      </c>
      <c r="C6" s="21" t="s">
        <v>150</v>
      </c>
      <c r="D6" s="22" t="s">
        <v>151</v>
      </c>
      <c r="E6" s="21" t="s">
        <v>152</v>
      </c>
      <c r="F6" s="21" t="s">
        <v>165</v>
      </c>
      <c r="G6" s="21" t="s">
        <v>166</v>
      </c>
    </row>
    <row r="7" spans="1:9" ht="15.75" x14ac:dyDescent="0.25">
      <c r="A7" s="21"/>
      <c r="B7" s="21" t="s">
        <v>408</v>
      </c>
      <c r="C7" s="21"/>
      <c r="D7" s="22"/>
      <c r="E7" s="21"/>
      <c r="F7" s="21"/>
      <c r="G7" s="21"/>
    </row>
    <row r="8" spans="1:9" ht="15.75" x14ac:dyDescent="0.25">
      <c r="A8" s="21"/>
      <c r="B8" s="21" t="s">
        <v>406</v>
      </c>
      <c r="C8" s="21"/>
      <c r="D8" s="22"/>
      <c r="E8" s="21"/>
      <c r="F8" s="21"/>
      <c r="G8" s="21"/>
    </row>
    <row r="9" spans="1:9" ht="15.75" x14ac:dyDescent="0.25">
      <c r="A9" s="21"/>
      <c r="B9" s="21" t="s">
        <v>407</v>
      </c>
      <c r="C9" s="21"/>
      <c r="D9" s="22"/>
      <c r="E9" s="21"/>
      <c r="F9" s="21"/>
      <c r="G9" s="21"/>
    </row>
    <row r="10" spans="1:9" x14ac:dyDescent="0.25">
      <c r="B10" s="27" t="s">
        <v>404</v>
      </c>
    </row>
    <row r="11" spans="1:9" x14ac:dyDescent="0.25">
      <c r="B11" s="27" t="s">
        <v>405</v>
      </c>
    </row>
  </sheetData>
  <phoneticPr fontId="0" type="noConversion"/>
  <hyperlinks>
    <hyperlink ref="B10" r:id="rId1"/>
    <hyperlink ref="B11" r:id="rId2"/>
  </hyperlink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>
      <selection activeCell="B13" sqref="B13"/>
    </sheetView>
  </sheetViews>
  <sheetFormatPr defaultRowHeight="15" x14ac:dyDescent="0.25"/>
  <cols>
    <col min="1" max="1" width="12.42578125" customWidth="1"/>
    <col min="2" max="2" width="93.42578125" customWidth="1"/>
    <col min="3" max="3" width="40.42578125" customWidth="1"/>
  </cols>
  <sheetData>
    <row r="2" spans="1:3" x14ac:dyDescent="0.25">
      <c r="A2">
        <v>160000</v>
      </c>
      <c r="B2" t="s">
        <v>217</v>
      </c>
    </row>
    <row r="3" spans="1:3" x14ac:dyDescent="0.25">
      <c r="A3">
        <v>170000</v>
      </c>
      <c r="B3" t="s">
        <v>215</v>
      </c>
    </row>
    <row r="4" spans="1:3" x14ac:dyDescent="0.25">
      <c r="A4">
        <v>170000</v>
      </c>
      <c r="B4" t="s">
        <v>216</v>
      </c>
    </row>
    <row r="5" spans="1:3" x14ac:dyDescent="0.25">
      <c r="A5">
        <v>176000</v>
      </c>
      <c r="B5" t="s">
        <v>292</v>
      </c>
    </row>
    <row r="6" spans="1:3" x14ac:dyDescent="0.25">
      <c r="A6">
        <v>188000</v>
      </c>
      <c r="B6" t="s">
        <v>354</v>
      </c>
    </row>
    <row r="7" spans="1:3" x14ac:dyDescent="0.25">
      <c r="A7">
        <v>190000</v>
      </c>
      <c r="B7" t="s">
        <v>373</v>
      </c>
    </row>
    <row r="8" spans="1:3" x14ac:dyDescent="0.25">
      <c r="A8">
        <v>188000</v>
      </c>
      <c r="B8" t="s">
        <v>393</v>
      </c>
      <c r="C8" t="s">
        <v>403</v>
      </c>
    </row>
    <row r="9" spans="1:3" x14ac:dyDescent="0.25">
      <c r="A9">
        <v>190000</v>
      </c>
      <c r="B9" t="s">
        <v>414</v>
      </c>
    </row>
    <row r="10" spans="1:3" x14ac:dyDescent="0.25">
      <c r="A10">
        <v>191500</v>
      </c>
      <c r="B10" t="s">
        <v>417</v>
      </c>
    </row>
    <row r="11" spans="1:3" x14ac:dyDescent="0.25">
      <c r="A11">
        <v>193500</v>
      </c>
      <c r="B11" t="s">
        <v>418</v>
      </c>
    </row>
    <row r="12" spans="1:3" x14ac:dyDescent="0.25">
      <c r="A12">
        <v>194000</v>
      </c>
      <c r="B12" t="s">
        <v>424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9" sqref="A9"/>
    </sheetView>
  </sheetViews>
  <sheetFormatPr defaultColWidth="8.85546875" defaultRowHeight="15" x14ac:dyDescent="0.25"/>
  <cols>
    <col min="1" max="1" width="64.42578125" customWidth="1"/>
    <col min="3" max="3" width="23" customWidth="1"/>
  </cols>
  <sheetData>
    <row r="1" spans="1:6" ht="22.5" customHeight="1" x14ac:dyDescent="0.25">
      <c r="A1" s="32" t="s">
        <v>429</v>
      </c>
      <c r="B1" s="33"/>
      <c r="C1" s="33"/>
      <c r="D1" s="34"/>
      <c r="E1" s="34"/>
      <c r="F1" s="34"/>
    </row>
    <row r="2" spans="1:6" ht="15.75" x14ac:dyDescent="0.25">
      <c r="A2" s="33" t="s">
        <v>430</v>
      </c>
      <c r="B2" s="33">
        <v>1</v>
      </c>
      <c r="C2" s="33" t="s">
        <v>431</v>
      </c>
      <c r="D2" s="34"/>
      <c r="E2" s="34"/>
      <c r="F2" s="34" t="s">
        <v>432</v>
      </c>
    </row>
    <row r="3" spans="1:6" ht="15.75" x14ac:dyDescent="0.25">
      <c r="A3" s="33" t="s">
        <v>433</v>
      </c>
      <c r="B3" s="33">
        <v>1</v>
      </c>
      <c r="C3" s="33" t="s">
        <v>434</v>
      </c>
      <c r="D3" s="33"/>
      <c r="E3" s="34"/>
      <c r="F3" s="33" t="s">
        <v>435</v>
      </c>
    </row>
    <row r="4" spans="1:6" ht="15.75" x14ac:dyDescent="0.25">
      <c r="A4" s="33" t="s">
        <v>436</v>
      </c>
      <c r="B4" s="33">
        <v>1</v>
      </c>
      <c r="C4" s="33" t="s">
        <v>437</v>
      </c>
      <c r="D4" s="34"/>
      <c r="E4" s="34"/>
      <c r="F4" s="33" t="s">
        <v>438</v>
      </c>
    </row>
    <row r="5" spans="1:6" ht="15.75" x14ac:dyDescent="0.25">
      <c r="A5" s="33" t="s">
        <v>439</v>
      </c>
      <c r="B5" s="33">
        <v>2</v>
      </c>
      <c r="C5" s="33" t="s">
        <v>440</v>
      </c>
      <c r="D5" s="34"/>
      <c r="E5" s="34"/>
      <c r="F5" s="34"/>
    </row>
    <row r="6" spans="1:6" ht="15.75" x14ac:dyDescent="0.25">
      <c r="A6" s="33" t="s">
        <v>441</v>
      </c>
      <c r="B6" s="33">
        <v>2</v>
      </c>
      <c r="C6" s="33" t="s">
        <v>442</v>
      </c>
      <c r="D6" s="34"/>
      <c r="E6" s="34"/>
      <c r="F6" s="34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БортЖурнал</vt:lpstr>
      <vt:lpstr>Запасные части</vt:lpstr>
      <vt:lpstr>ТО200</vt:lpstr>
      <vt:lpstr>Телефоны СТО и продавцов</vt:lpstr>
      <vt:lpstr>Полиуритан</vt:lpstr>
      <vt:lpstr>Замечания</vt:lpstr>
      <vt:lpstr>Задние суппорта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2015-10-21T14:39:27Z</dcterms:modified>
</cp:coreProperties>
</file>